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haib\Desktop\UNIGAP\POWER BI\PBI LEVEL 2\Project 4\"/>
    </mc:Choice>
  </mc:AlternateContent>
  <xr:revisionPtr revIDLastSave="0" documentId="13_ncr:1_{4DCB0CC5-E181-4E2A-80BC-594032A785D4}" xr6:coauthVersionLast="47" xr6:coauthVersionMax="47" xr10:uidLastSave="{00000000-0000-0000-0000-000000000000}"/>
  <bookViews>
    <workbookView xWindow="-108" yWindow="-108" windowWidth="23256" windowHeight="12456" xr2:uid="{00000000-000D-0000-FFFF-FFFF00000000}"/>
  </bookViews>
  <sheets>
    <sheet name="Design Thinking Ver 4" sheetId="1" r:id="rId1"/>
    <sheet name="Design Thinking Ver 2" sheetId="2" state="hidden" r:id="rId2"/>
    <sheet name="Design Thinking" sheetId="3" state="hidden" r:id="rId3"/>
    <sheet name="Kiến thức về Design Thinking"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<sst xmlns="http://schemas.openxmlformats.org/spreadsheetml/2006/main" count="531" uniqueCount="406">
  <si>
    <t>Overview:</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</si>
  <si>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Fill your content on all yellow cell.</t>
  </si>
  <si>
    <t>Design Thinking emphasizes on ITERATION.</t>
  </si>
  <si>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</si>
  <si>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</si>
  <si>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</si>
  <si>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</si>
  <si>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</si>
  <si>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</si>
  <si>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</si>
  <si>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</si>
  <si>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</si>
  <si>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</si>
  <si>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</si>
  <si>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t>Thinking and feeling
What does the stakeholder think and feel?</t>
  </si>
  <si>
    <t>Seeing
What does the stakeholder see?</t>
  </si>
  <si>
    <t>Saying and doing
What does the stakeholder say?</t>
  </si>
  <si>
    <t>Field parameters: 3</t>
  </si>
  <si>
    <t>Nếu chỉ chọn 1 key Stakeholder thì đó sẽ là ai?</t>
  </si>
  <si>
    <t>Dùng 1 câu để mô tả vấn đề</t>
  </si>
  <si>
    <t>Pains
What are the biggest problems and challenges?</t>
  </si>
  <si>
    <t xml:space="preserve">
STAKEHOLDER</t>
  </si>
  <si>
    <t>Gains
What are the opportunities and benefits?</t>
  </si>
  <si>
    <t>STAKEHOLDER NEED</t>
  </si>
  <si>
    <t>Key questions 
What are the key questions that stakeholder want to answer?</t>
  </si>
  <si>
    <t>* Note: Hãy Empathize thêm 1 lần nữa để make sure mình đã hiểu rõ vấn đề và những painpoint của stakeholder</t>
  </si>
  <si>
    <t>Stage 2: Define POV - Nhìn sâu</t>
  </si>
  <si>
    <t>Northstar Metric
Đâu là chỉ số quan trọng nhất mà stakeholder muốn nhìn?</t>
  </si>
  <si>
    <t>Choose
your POV
==&gt;</t>
  </si>
  <si>
    <t>Define Point of View
Đây là bước xác định những góc nhìn quan trọng mà stakeholder muốn quan sát.</t>
  </si>
  <si>
    <t>Develop Growth Formula
==&gt;</t>
  </si>
  <si>
    <t>Growth Formula
Xoáy sâu vào từng góc nhìn</t>
  </si>
  <si>
    <t>NORTHSTAR 1</t>
  </si>
  <si>
    <t>NORTHSTAR 2 (Optional)</t>
  </si>
  <si>
    <t>Brainstorming Point of View</t>
  </si>
  <si>
    <t>Góc nhìn 1</t>
  </si>
  <si>
    <t>Góc nhìn 2</t>
  </si>
  <si>
    <t>Góc nhìn 3</t>
  </si>
  <si>
    <t>Góc nhìn 4</t>
  </si>
  <si>
    <t>NORTHSTAR 1 Formula</t>
  </si>
  <si>
    <t>What VALUE you want to measure?</t>
  </si>
  <si>
    <t>Góc nhìn 5</t>
  </si>
  <si>
    <t>Góc nhìn 6</t>
  </si>
  <si>
    <t>Góc nhìn 7</t>
  </si>
  <si>
    <t>Góc nhìn 8</t>
  </si>
  <si>
    <t>Góc nhìn quan trọng</t>
  </si>
  <si>
    <t>Description</t>
  </si>
  <si>
    <t>Tại sao stakeholder lại muốn nhìn góc nhìn này?</t>
  </si>
  <si>
    <t>WHEN the value DELIVERY SUCCESS?</t>
  </si>
  <si>
    <t>NORTHSTAR 2 Formula</t>
  </si>
  <si>
    <t>Northstar Metric Name</t>
  </si>
  <si>
    <t>WHY do you choose this metric?</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</si>
  <si>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</si>
  <si>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</si>
  <si>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</si>
  <si>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</si>
  <si>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</si>
  <si>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</si>
  <si>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</si>
  <si>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</si>
  <si>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</si>
  <si>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Thông tin rất quan trọng</t>
  </si>
  <si>
    <t>Thông tin quan trọng</t>
  </si>
  <si>
    <t>Thông tin chi tiết</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</si>
  <si>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</si>
  <si>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</si>
  <si>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</si>
  <si>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</si>
  <si>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</si>
  <si>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</si>
  <si>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</si>
  <si>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</si>
  <si>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</si>
  <si>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</si>
  <si>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</si>
  <si>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</si>
  <si>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</si>
  <si>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</si>
  <si>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</si>
  <si>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</si>
  <si>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</si>
  <si>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</si>
  <si>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</si>
  <si>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</si>
  <si>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</si>
  <si>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</si>
  <si>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</si>
  <si>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</si>
  <si>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</si>
  <si>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</si>
  <si>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</si>
  <si>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</si>
  <si>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</si>
  <si>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</si>
  <si>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</si>
  <si>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</si>
  <si>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</si>
  <si>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</si>
  <si>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</si>
  <si>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</si>
  <si>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</si>
  <si>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</si>
  <si>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</si>
  <si>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</si>
  <si>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Dashboard này giải quyết
vấn đề gì?</t>
  </si>
  <si>
    <t>Tại sao các stakeholder cần
Dasboard này?</t>
  </si>
  <si>
    <t>Stakeholder đã làm như thế nào
để đạt được mục tiêu</t>
  </si>
  <si>
    <t>Thinking and feeling
What does the user/customer think and feel?</t>
  </si>
  <si>
    <t>Seeing
What does the customer/user see?</t>
  </si>
  <si>
    <t>Saying and doing
What does the customer/user say?</t>
  </si>
  <si>
    <t>Table number:
5</t>
  </si>
  <si>
    <t>Fact table:
1</t>
  </si>
  <si>
    <t>Dim table:
4</t>
  </si>
  <si>
    <t>Nội dung của tables</t>
  </si>
  <si>
    <t>USER</t>
  </si>
  <si>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</si>
  <si>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</si>
  <si>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</si>
  <si>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</si>
  <si>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</si>
  <si>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</si>
  <si>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t>Đánh giá sơ bộ về data quality
- null
- distinct
- quality rule
- min/max</t>
  </si>
  <si>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</si>
  <si>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</si>
  <si>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</si>
  <si>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</si>
  <si>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</si>
  <si>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</si>
  <si>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t>Mọi idea về việc sử dụng dữ liệu:
- Có thể tính Revenue
- Xem theo level người sẽ có nhiều ý hay
- Có thể có một nhóm người dùng cheating?</t>
  </si>
  <si>
    <t>Step 1:</t>
  </si>
  <si>
    <t>Step 2:</t>
  </si>
  <si>
    <t>Step 3:</t>
  </si>
  <si>
    <t>Step 4:</t>
  </si>
  <si>
    <t>Step 5:</t>
  </si>
  <si>
    <t>Step 6:</t>
  </si>
  <si>
    <t>Action:
Thinking:</t>
  </si>
  <si>
    <t>5WHY</t>
  </si>
  <si>
    <t>ISSUE TREE (LOGIC TREE)</t>
  </si>
  <si>
    <t>HMW
How might we...?</t>
  </si>
  <si>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</si>
  <si>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</si>
  <si>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</si>
  <si>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</si>
  <si>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</si>
  <si>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</si>
  <si>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</si>
  <si>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</si>
  <si>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</si>
  <si>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</si>
  <si>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</si>
  <si>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</si>
  <si>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</si>
  <si>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</si>
  <si>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</si>
  <si>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</si>
  <si>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</si>
  <si>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</si>
  <si>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</si>
  <si>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</si>
  <si>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</si>
  <si>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</si>
  <si>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</si>
  <si>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</si>
  <si>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</si>
  <si>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</si>
  <si>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</si>
  <si>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</si>
  <si>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</si>
  <si>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</si>
  <si>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</si>
  <si>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</si>
  <si>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</si>
  <si>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</si>
  <si>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</si>
  <si>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</si>
  <si>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</si>
  <si>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</si>
  <si>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</si>
  <si>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</si>
  <si>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</si>
  <si>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</si>
  <si>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</si>
  <si>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</si>
  <si>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</si>
  <si>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</si>
  <si>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</si>
  <si>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</si>
  <si>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</si>
  <si>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</si>
  <si>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</si>
  <si>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</si>
  <si>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</si>
  <si>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</si>
  <si>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</si>
  <si>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</si>
  <si>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</si>
  <si>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</si>
  <si>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</si>
  <si>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</si>
  <si>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</si>
  <si>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</si>
  <si>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</si>
  <si>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</si>
  <si>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</si>
  <si>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</si>
  <si>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</si>
  <si>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</si>
  <si>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</si>
  <si>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</si>
  <si>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</si>
  <si>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</si>
  <si>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</si>
  <si>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</si>
  <si>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</si>
  <si>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</si>
  <si>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</si>
  <si>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</si>
  <si>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</si>
  <si>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</si>
  <si>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</si>
  <si>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</si>
  <si>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</si>
  <si>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</si>
  <si>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</si>
  <si>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</si>
  <si>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</si>
  <si>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</si>
  <si>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</si>
  <si>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</si>
  <si>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</si>
  <si>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</si>
  <si>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</si>
  <si>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</si>
  <si>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</si>
  <si>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</si>
  <si>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</si>
  <si>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</si>
  <si>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</si>
  <si>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</si>
  <si>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</si>
  <si>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</si>
  <si>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</si>
  <si>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</si>
  <si>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</si>
  <si>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</si>
  <si>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</si>
  <si>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</si>
  <si>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</si>
  <si>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</si>
  <si>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</si>
  <si>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</si>
  <si>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</si>
  <si>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</si>
  <si>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</si>
  <si>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</si>
  <si>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</si>
  <si>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</si>
  <si>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</si>
  <si>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</si>
  <si>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</si>
  <si>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</si>
  <si>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</si>
  <si>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</si>
  <si>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</si>
  <si>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</si>
  <si>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</si>
  <si>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</si>
  <si>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</si>
  <si>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</si>
  <si>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</si>
  <si>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</si>
  <si>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</si>
  <si>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</si>
  <si>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</si>
  <si>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</si>
  <si>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</si>
  <si>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</si>
  <si>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</si>
  <si>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</si>
  <si>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</si>
  <si>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</si>
  <si>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</si>
  <si>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</si>
  <si>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</si>
  <si>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</si>
  <si>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</si>
  <si>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</si>
  <si>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</si>
  <si>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</si>
  <si>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</si>
  <si>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</si>
  <si>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</si>
  <si>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</si>
  <si>
    <t>Layer 2 dimension</t>
  </si>
  <si>
    <t>Layer 1 dimension</t>
  </si>
  <si>
    <t>Layer 0 dimension</t>
  </si>
  <si>
    <t>Table number: 12</t>
  </si>
  <si>
    <t>Fact: 1 · Dim: 8</t>
  </si>
  <si>
    <t>PAGE 1 — OPERATIONS OVERVIEW</t>
  </si>
  <si>
    <t>PAGE 2 — CARRIER PERFORMANCE</t>
  </si>
  <si>
    <t>PAGE 3 — NETWORK &amp; GEOGRAPHY</t>
  </si>
  <si>
    <t>PAGE 4 — DELAY &amp; CANCELLATION ROOT CAUSE</t>
  </si>
  <si>
    <t>PAGE 5 — INSIGHTS &amp; RECOMMENDATIONS</t>
  </si>
  <si>
    <t>KEY STAKEHOLDER
• VP of Network Operations
STAKEHOLDER KHÁC
• Network Planning Manager (thiết kế lịch bay)
• Station Manager (điều hành mặt đất tại hub)
• Analytics Team (bảo trì dashboard)</t>
  </si>
  <si>
    <t>DASHBOARD TRẢ LỜI 4 CÂU
• Vị thế OTP so với 13 đối thủ — cách bao nhiêu điểm?
• Phút trễ rò rỉ ở đâu — khung giờ / hub / chặng nào?
• Bao nhiêu % trễ do hãng, bao nhiêu do khách quan?
• Nên can thiệp vào đâu — lịch bay, mặt đất, hay block time?</t>
  </si>
  <si>
    <t>KHI NÀO
• Operations Review hàng tháng (sau công bố DOT)
• Chu kỳ Schedule Planning theo mùa
• Họp phân bổ ngân sách nguồn lực hub
• Giải trình đột xuất với CEO/HĐQT
Ở ĐÂU
• Laptop trong phòng họp
• Di động khi di chuyển giữa các hub
&gt;&gt;&gt; Kết luận phải đọc được trong 5-10 giây đầu</t>
  </si>
  <si>
    <t xml:space="preserve">VÌ SAO CẦN PHÂN TÍCH
• OTP là chỉ số thương mại, không chỉ vận hành (DOT công bố công khai)
• Mỗi phút trễ = chi phí thật (nhiên liệu, tăng ca, bồi thường, mất chuyến nối)
KHÓ KHĂN HIỆN TẠI
• 5,82tr dòng — quá chi tiết để nhìn ra quy luật
• Báo cáo chỉ có số tổng, không chỉ ra nguồn rò rỉ
• Nguyên nhân bị gộp chung → đổ lỗi thời tiết, không ai hành động
&gt;&gt;&gt; MỤC TIÊU: từ "trễ bao nhiêu" sang "trễ ở đâu và sửa được phần nào" </t>
  </si>
  <si>
    <t>LOGIC RA QUYẾT ĐỊNH
Tổng quan → So benchmark → Tìm điểm rò rỉ → Đào nguyên nhân gốc → So phương án → Quyết định
ƯU TIÊN CỦA STAKEHOLDER
• Khoảng cách vs trung bình ngành, không phải số tuyệt đối
• Phần kiểm soát được, vì ngân sách can thiệp có hạn
&gt;&gt;&gt; DASHBOARD THEO TẦNG
Overview → Carrier → Network → Root Cause → Recommendations</t>
  </si>
  <si>
    <t>NGHĨ
• Mình xếp thứ mấy? Cách hãng dẫn đầu bao nhiêu điểm?
• Bao nhiêu % phút trễ là lỗi của mình?
• Đầu tư thêm thì đặt vào đâu?
CẢM
• Áp lực — OTP bị công bố công khai hàng tháng
• Bực bội — mọi giải thích đều quy về "do thời tiết"
• Lo lắng — ký duyệt đổi lịch hàng nghìn chuyến mà thiếu bằng chứng</t>
  </si>
  <si>
    <t>ĐANG THẤY
• Báo cáo rời rạc từ từng station, mỗi nơi một định dạng
• Bảng xếp hạng DOT: 1 con số, không giải thích nguyên nhân
• File hàng triệu dòng, Excel không mở nổi
KHÔNG THẤY
• Một nơi hiển thị cùng lúc: đứng ở đâu — trễ ở đâu — sửa được gì</t>
  </si>
  <si>
    <t>NÓI
• "Mình đang ở đâu so với ngành?"
• "Phút trễ rơi vào khung giờ nào?"
• "Bao nhiêu do chúng ta, bao nhiêu do thời tiết?"
• "Nếu chỉ sửa được một thứ thì sửa gì?"
LÀM
• Điều chỉnh giờ khởi hành
• Tăng block time cho chặng rủi ro
• Bổ sung nhân lực mặt đất tại hub tắc nghẽn
• Đàm phán slot với sân bay</t>
  </si>
  <si>
    <t>QUAN HỆ — 7 quan hệ, M:1, lọc một chiều
• Flights → Airline (IATA_CODE)
• Flights → Airport (Origin active / Destination inactive → USERELATIONSHIP)
• Flights → Date (Mark as Date Table)
• Flights → TimeBlock / CancellationCode / DistanceBand / DelayCause
&gt;&gt;&gt; Star schema
⚠ Đã vá lỗi mã sân bay T10: 486.165 dòng dùng mã DOT thay IATA (322 → 628 sân bay)</t>
  </si>
  <si>
    <t>FACT — Flights (5.819.079 dòng)
Mỗi dòng 1 chuyến: hãng · đi-đến · thời gian · phút trễ · huỷ/chuyển hướng · 5 nguyên nhân trễ
Cột tính thêm: Dep_Hour · Is_OnTime · Delay_Minutes · Block_Buffer
DIM (8)
Airline 14 · Airport 322 · Date 365 · TimeBlock 24
CancellationCode 4 · DelayCause 5 · DistanceBand 5 · Map-AirportCode
FIELD PARAMETER (3)
Network Dimension · OTP Metric · Time Grain</t>
  </si>
  <si>
    <t>NHÓM MÔ TẢ
• Hãng bay: AIRLINE · FLIGHT_NUMBER · TAIL_NUMBER
• Địa lý: ORIGIN/DEST_AIRPORT · CITY · STATE · LAT/LONG · Route
• Thời gian: MONTH · DAY · DAY_OF_WEEK · SCHEDULED_DEPARTURE
• Trạng thái: CANCELLED · DIVERTED · CANCELLATION_REASON (A/B/C/D)
• Cự ly: DISTANCE → 5 dải</t>
  </si>
  <si>
    <t>VP of Network Operations
(chịu trách nhiệm cuối cùng về OTP của hãng)</t>
  </si>
  <si>
    <t>Giúp VP Operations xác định phút trễ sinh ra ở đâu và phần nào kiểm soát được, để phân bổ nguồn lực dựa trên bằng chứng thay vì đổ lỗi thời tiết.</t>
  </si>
  <si>
    <t>• 5,82tr dòng nhưng không rút ra được hành động
• Nguyên nhân gộp chung → không quy được trách nhiệm
• Bị so sánh công khai mà không giải thích được vì sao thua
• Quyết định ảnh hưởng hàng nghìn chuyến nhưng thiếu bằng chứng</t>
  </si>
  <si>
    <t>• Biết tỷ lệ trễ kiểm soát được → đặt mục tiêu thực tế
• Có bằng chứng định lượng để bảo vệ ngân sách trước CEO
• Phát hiện sớm hub/khung giờ xấu đi trước khi hỏng cả tháng
• Học được cách làm của hãng dẫn đầu thay vì phỏng đoán</t>
  </si>
  <si>
    <t>NHÓM ĐO LƯỜNG
• Quy mô: số chuyến · chuyến khai thác · số sân bay/chặng
• Đúng giờ: OTP % · Avg Delay · Total Delay Minutes
• Rủi ro: Cancellation Rate % · Diverted Rate % · Completion Factor
• Mặt đất: Avg Taxi-Out / Taxi-In
• Lịch bay: Block Buffer = Elapsed − Scheduled
&gt;&gt;&gt; QUAN TRỌNG NHẤT: OTP % (chất lượng) + Total Delay Minutes (quy mô)
&gt;&gt;&gt; GUARDRAIL: Cancellation Rate % · Diverted Rate %</t>
  </si>
  <si>
    <t>Q1 — Bức tranh khai thác 2015 tổng thể ra sao?
Q2 — Hiệu suất từng hãng khác nhau thế nào, hãng dẫn đầu làm gì khác?
Q3 — Hub nào tắc nghẽn, chặng nào rủi ro?
Q4 — Nguyên nhân gốc là gì, phần nào kiểm soát được?</t>
  </si>
  <si>
    <t>OTP % = DIVIDE([On-Time Flights], [Flights Operated])
[Flights Operated] = CALCULATE(COUNTROWS(Flights), Flights[CANCELLED]=0)
[On-Time Flights]  = CALCULATE([Flights Operated], Flights[ARRIVAL_DELAY]&lt;=15)
Baseline 2015: 81,87%</t>
  </si>
  <si>
    <t>Thời gian — tháng / thứ / khung giờ</t>
  </si>
  <si>
    <t>Hãng bay — benchmark 14 hãng</t>
  </si>
  <si>
    <t>Mạng bay — sân bay / chặng / bang</t>
  </si>
  <si>
    <t>Nguyên nhân — 5 nhóm trễ &amp; 4 mã huỷ</t>
  </si>
  <si>
    <t>ĐO CHẤT LƯỢNG KHAI THÁC
Tỷ lệ giữ đúng cam kết thời gian với hành khách
&gt;&gt;&gt; Đánh giá hub/hãng bằng tỷ lệ đúng giờ, không bằng số chuyến
&gt;&gt;&gt; Là chỉ số DOT công bố → so trực tiếp được với đối thủ</t>
  </si>
  <si>
    <t>ĐO ĐỘ LỚN THIỆT HẠI
&gt;&gt;&gt; Sân bay nhỏ OTP kém = mất vài nghìn phút
&gt;&gt;&gt; Hub lớn kém 2 điểm = mất hàng triệu phút
&gt;&gt;&gt; Phải nhìn cả hai mới biết ưu tiên sửa ở đâu</t>
  </si>
  <si>
    <t>① THỜI GIAN
OTP % theo Month &gt; Day of Week &gt; Departure Hour</t>
  </si>
  <si>
    <t>= DIVIDE([On-Time Flights],[Flights Operated]) trên Dim-Date &amp; Dim-TimeBlock
[OTP MoM] = [OTP%] − CALCULATE([OTP%], PREVIOUSMONTH(Date[Date]))
⚠ Thay cho YoY vì chỉ có 2015</t>
  </si>
  <si>
    <t>Tỷ lệ huỷ theo hãng &amp; mùa</t>
  </si>
  <si>
    <t>Taxi-Out — tắc nghẽn mặt đất</t>
  </si>
  <si>
    <t>Block Buffer — đệm lịch bay</t>
  </si>
  <si>
    <t>Bù giờ theo dải cự ly</t>
  </si>
  <si>
    <t>② HÃNG BAY
OTP % theo Airline vs benchmark ngành</t>
  </si>
  <si>
    <t>[OTP Gap vs Industry] = [OTP%] − CALCULATE([OTP%], ALL(Dim-Airline))
Ghép với [Flights Operated] → 4 góc phần tư (quy mô × chất lượng)</t>
  </si>
  <si>
    <t>③ MẠNG BAY
OTP % theo Airport &gt; State &gt; Route</t>
  </si>
  <si>
    <t>= DIVIDE(...) theo Dim-Airport
[Avg Taxi-Out] = AVERAGE(Flights[TAXI_OUT]) — chỉ báo tắc nghẽn
[Airport OTP Rank] = RANKX(ALL(Airport),[OTP%],,ASC)</t>
  </si>
  <si>
    <t>① THỜI GIAN (Trend)</t>
  </si>
  <si>
    <t>OTP / Delay Min / Cancel theo Tháng &gt; Thứ &gt; Khung giờ
⚠ Không có YoY (chỉ 2015) → thay bằng vs Industry + MoM
→ Trả lời Q1</t>
  </si>
  <si>
    <t>• Nắm bức tranh tổng thể trước khi đào sâu
• Nơi lộ ra hiệu ứng dồn trễ: OTP 93,05% (5h) → 74,28% (20h)
&gt;&gt;&gt; Phát hiện quan trọng nhất của cả dashboard</t>
  </si>
  <si>
    <t>④ NGUYÊN NHÂN
OTP % đối chiếu tỷ trọng từng nhóm</t>
  </si>
  <si>
    <t>[Cancellation Rate %] = DIVIDE([Cancelled Flights],[Total Flights])
[Controllable Delay %] = DIVIDE([Late Aircraft]+[Airline], [Total Classified Delay]) = 72,0%</t>
  </si>
  <si>
    <t>Khi OTP vượt trung bình ngành (81,87%)
VÀ giữ ổn định qua tháng cao điểm (T2 77,3% · T6 77,0% · T12 79,9%),
không chỉ tốt vào mùa thấp điểm (T9-T10: 87-88%)</t>
  </si>
  <si>
    <t>Khi tổng phút trễ giảm theo tháng
VÀ phần giảm đến từ nhóm kiểm soát được (72,0%),
không phải nhờ thời tiết thuận lợi</t>
  </si>
  <si>
    <t>② HÃNG BAY (Carrier Benchmark)</t>
  </si>
  <si>
    <t>Xếp hạng 14 hãng: OTP × quy mô × tỷ lệ huỷ
Strategy Map: OTP % × Số chuyến — 4 góc phần tư
→ Trả lời Q2</t>
  </si>
  <si>
    <t>• Biết mình đứng đâu, học gì từ hãng dẫn đầu
• Khác biệt thật nằm ở Block Buffer:
   - Dẫn đầu cài đệm nhiều: UA −8,9' · DL −7,1'
   - Cuối bảng gần như không đệm: NK −1,4' · F9 −0,8'</t>
  </si>
  <si>
    <t>Total Delay Minutes = SUMX(Flights, MAX(Flights[ARRIVAL_DELAY], 0))
[Avg Delay per Flight] = DIVIDE([Total Delay Minutes],[Flights Operated])
Baseline 2015: 69,10 triệu phút</t>
  </si>
  <si>
    <t>OTP % (OTP15)
= Chuyến đến trễ ≤15 phút ÷ Chuyến đã khai thác</t>
  </si>
  <si>
    <t>Total Delay Minutes
= Tổng phút trễ đến (chỉ phần dương)</t>
  </si>
  <si>
    <t>③ MẠNG BAY &amp; ĐỊA LÝ (Network)</t>
  </si>
  <si>
    <t>Sân bay &gt; Bang &gt; Chặng, kèm bản đồ + Taxi-Out
Field parameter đổi chiều Airport ↔ State ↔ Route
→ Trả lời Q3</t>
  </si>
  <si>
    <t>• Xác định hub nút thắt: EWR (taxi-out 20,2' · huỷ 3,06%) · ORD (OTP 76,4%)
• Quyết định chặng nào cần thêm block time, hub nào cần thêm nguồn lực</t>
  </si>
  <si>
    <t>① THỜI GIAN
Delay Minutes theo Month / Hour</t>
  </si>
  <si>
    <t>= SUMX(Flights, MAX(Flights[ARRIVAL_DELAY],0))
Tách [Late Aircraft Min] theo giờ → chứng minh dồn trễ (2,7' lúc 5h → 29,8' lúc 19-20h)</t>
  </si>
  <si>
    <t>② HÃNG BAY
Delay Minutes theo Airline</t>
  </si>
  <si>
    <t>[Delay Min Share %] = DIVIDE([Delay Min hãng],[Tổng Delay Min])
[Block Buffer] = AVERAGE(ELAPSED_TIME) − AVERAGE(SCHEDULED_TIME)</t>
  </si>
  <si>
    <t>④ NGUYÊN NHÂN GỐC (Root Cause)</t>
  </si>
  <si>
    <t>Phân rã 62,65tr phút trễ → 5 nhóm
Phân rã 89.884 chuyến huỷ → 4 mã A/B/C/D
Tách rõ kiểm soát được vs khách quan
→ Trả lời Q4</t>
  </si>
  <si>
    <t>• Góc nhìn quyết định ngân sách — chỉ đầu tư vào phần kiểm soát được
&gt;&gt;&gt; 72,0% là Late Aircraft + Airline, Weather chỉ 4,95%
     → Lập luận "do thời tiết" không còn đứng vững</t>
  </si>
  <si>
    <t>③ MẠNG BAY
Delay Minutes theo Airport / Route</t>
  </si>
  <si>
    <t>= SUMX(...) từng sân bay
&gt;&gt;&gt; Hub gây NHIỀU PHÚT NHẤT ≠ hub có OTP THẤP NHẤT
     Điểm phân biệt quan trọng khi phân bổ ngân sách</t>
  </si>
  <si>
    <t>Avg delay dễ đánh lừa — phân bố lệch vẫn cho số trung bình đẹp
&gt;&gt;&gt; Ngưỡng 15 phút chuẩn DOT phản ánh đúng trải nghiệm hành khách
     và so sánh trực tiếp được với đối thủ</t>
  </si>
  <si>
    <t>OTP đứng một mình che mất quy mô
VD: ORD kém ATL 7,6 điểm nhưng lưu lượng lớn hơn → chênh phút trễ tuyệt đối rất nhiều
&gt;&gt;&gt; Delay Minutes cho biết sửa ở đâu thu về nhiều phút nhất</t>
  </si>
  <si>
    <t>④ NGUYÊN NHÂN
Delay Minutes phân rã 5 nhóm</t>
  </si>
  <si>
    <t>= SUM theo Dim-DelayCause (bảng unpivot)
[Controllable]   = Late Aircraft + Airline = 72,0%
[Uncontrollable] = Air System + Weather + Security = 28,0%</t>
  </si>
  <si>
    <t>① Tổng quan khai thác 2015</t>
  </si>
  <si>
    <t>② Hiệu suất Hãng bay</t>
  </si>
  <si>
    <t>③ Mạng bay &amp; Địa lý</t>
  </si>
  <si>
    <t>④ Nguyên nhân gốc Trễ &amp; Huỷ</t>
  </si>
  <si>
    <t>SCORECARD
• OTP % • Total Delay Minutes • Total Flights
• Cancellation Rate % • Diverted Rate %
(số + sparkline tháng + ▲▼ vs ngành + thứ hạng)</t>
  </si>
  <si>
    <t>Mỏ neo: OTP / Delay Min / Flights
+ Best Carrier · Worst Carrier · Highest Cancel (ĐỘNG)</t>
  </si>
  <si>
    <t>Mỏ neo: OTP / Delay Min
+ Busiest Hub · Worst OTP Hub · Most Congested · Worst Route (ĐỘNG)</t>
  </si>
  <si>
    <t>Mỏ neo: OTP / Delay Min
+ Controllable Delay % · Top Delay Cause · Top Cancel Reason (ĐỘNG)</t>
  </si>
  <si>
    <t>SCORECARD (dọc · số + sparkline + ▲▼ vs ngành)
OTP 81,87% · Delay Min 69,10tr · Flights 5,82tr
Cancel 1,54% · Diverted 0,26%</t>
  </si>
  <si>
    <t>SCORECARD
Mỏ neo: OTP · Delay Min · Flights
Best HA 89,4% · Worst NK 71,1% · Highest Cancel MQ 5,10% (ĐỘNG)</t>
  </si>
  <si>
    <t>SCORECARD
Mỏ neo: OTP · Delay Min
Busiest ATL 346.836 · Worst OTP ORD 76,4% · Congested EWR 20,2' (ĐỘNG)</t>
  </si>
  <si>
    <t>SCORECARD
Mỏ neo: OTP · Delay Min
Controllable 72,0% · Top Cause Late Aircraft 39,84% · Top Cancel Weather 54,3%</t>
  </si>
  <si>
    <t>THESIS BANNER
1 câu chốt + 3 số ĐỘNG
(OTP gap · Controllable % · phút trễ thu hồi được)</t>
  </si>
  <si>
    <t>3 combo OTP (đường) + Số chuyến (cột) theo Month / DOW / Hour — đặt song song
★ Biểu đồ theo giờ là ngôi sao: OTP 93,05% (5h) → 74,28% (20h)</t>
  </si>
  <si>
    <t>• Carrier Strategy Map — scatter OTP × Số chuyến, 4 góc
   (Benchmark Leader / Scale Risk / Niche Good / Fix Now)
• Combo OTP + Delay Min + Cancel % theo hãng</t>
  </si>
  <si>
    <t>• Bản đồ OTP theo sân bay (bubble = số chuyến, màu = OTP)
• Airport Strategy Map — scatter 4 góc
• Top/Bottom 10 Route theo OTP</t>
  </si>
  <si>
    <t>① Phân rã 5 nguyên nhân:
   Late Aircraft 39,84% · Airline 32,20% · Air System 22,88% · Weather 4,95% · Security 0,13%
② Huỷ theo 4 mã × tháng (T2: 4,78% — 15.447 chuyến do thời tiết)</t>
  </si>
  <si>
    <t>4 THẺ KEY INSIGHT (ĐỘNG)
Thời gian · Hãng bay · Mạng bay · Nguyên nhân
Mỗi thẻ = nhiều số gộp thành 1 kết luận hành động được</t>
  </si>
  <si>
    <t>• OTP % theo Month
• OTP % theo Day of Week
• OTP % theo Departure Hour
• Delay Minutes theo Month
• Cancellation Rate % theo Month</t>
  </si>
  <si>
    <t>• OTP % theo Airline
• Delay Minutes theo Airline
• Cancellation Rate % theo Airline
• Block Buffer theo Airline
• Avg Taxi-Out theo Airline</t>
  </si>
  <si>
    <t>• OTP % theo Airport (Top/Bottom 10)
• Delay Minutes theo Airport
• Avg Taxi-Out theo Airport
• Bản đồ OTP theo Bang
• OTP % theo Route (Top/Bottom 10)</t>
  </si>
  <si>
    <t>• Tỷ trọng 5 nhóm nguyên nhân
• Chuyến huỷ theo 4 mã A/B/C/D
• Cancellation Rate theo Month
• Bù giờ theo dải cự ly</t>
  </si>
  <si>
    <t>Heatmap OTP theo Hour × Month
&gt;&gt;&gt; Quy luật dồn trễ lặp đều 12 tháng
     → là lỗi thiết kế lịch bay, không phải ngẫu nhiên</t>
  </si>
  <si>
    <t>Bảng Performance by Carrier — field parameter đổi chỉ số
★ Cột Block Buffer là điểm nhấn:
   Dẫn đầu: UA −8,9' · DL −7,1' · WN −6,1'
   Cuối bảng: NK −1,4' · F9 −0,8'</t>
  </si>
  <si>
    <t>Matrix Airport × Airline (OTP heatmap)
Field parameter đổi chiều Airport ↔ State ↔ Route
Caveat hiển thị: T10 đã map lại mã sân bay</t>
  </si>
  <si>
    <t>③ Bù giờ theo dải cự ly
   &lt;500 dặm: bù 2,90' · 1.500-2.499 dặm: bù 8,60'
&gt;&gt;&gt; Chặng ngắn gần như không cứu vãn được nếu đã trễ lúc khởi hành</t>
  </si>
  <si>
    <t>RECOMMENDATIONS R1-R5
+ mức ưu tiên (Do now / High / Quick win / Strategic / Ops)
+ caveat
⚠ Mọi số kéo từ measure, KHÔNG gõ tĩnh</t>
  </si>
  <si>
    <t>• OTP theo Hour × Month (heatmap)
• OTP theo Day of Week × Hour
• Delay Min theo Month × Cause</t>
  </si>
  <si>
    <t>• Scatter OTP × Số chuyến theo Airline (4 góc)
• OTP theo Airline × Month
• Block Buffer × OTP theo Airline</t>
  </si>
  <si>
    <t>• Scatter OTP × Số chuyến theo Airport (4 góc)
• Matrix Airport × Airline (OTP heatmap)
• Delay Min theo Route × Airline</t>
  </si>
  <si>
    <t>• Nguyên nhân theo Month × Cause (stacked)
• Mã huỷ theo Airline × Reason
• Late Aircraft Delay theo Hour</t>
  </si>
  <si>
    <t>Chú thích rõ: OTP = trễ ≤15' (chuẩn DOT)
Mẫu số là chuyến ĐÃ KHAI THÁC (loại chuyến huỷ)</t>
  </si>
  <si>
    <t>Cảnh báo quy mô: HA 76k · VX 62k không so trực tiếp với WN 1,26tr
→ Kích thước bubble phải thể hiện rõ</t>
  </si>
  <si>
    <t>Chỉ vẽ bản đồ SAU KHI map mã T10
Hiển thị số sân bay = 322 để chứng minh dữ liệu đã sạch</t>
  </si>
  <si>
    <t>Ghi rõ tỷ trọng tính trên 1,06tr chuyến có phân loại (18,3%),
không phải toàn bộ 5,82tr chuyến</t>
  </si>
  <si>
    <t>⚠ Không có dữ liệu tài chính &amp; không có năm so sánh
→ Thay YoY bằng vs Industry + MoM, ghi caveat trên dashboard</t>
  </si>
  <si>
    <t>⚠ Chỉ 14 hãng nội địa Mỹ, không có hãng quốc tế
TAIL_NUMBER null 0,25% → phân tích theo tàu bay thiếu một phần</t>
  </si>
  <si>
    <t>⚠ 486.165 dòng T10 dùng mã DOT
→ Map về IATA TRƯỚC KHI phân tích địa lý, nếu không T10 biến mất khỏi bản đồ</t>
  </si>
  <si>
    <t>⚠ 5 cột nguyên nhân chỉ có ở 18,3% chuyến (null 81,7%)
→ Mọi tỷ trọng phải ghi rõ tính trên tập này</t>
  </si>
  <si>
    <t>AS-BUILT DESIGN PRINCIPLES
(1) Mỏ neo OTP % / Delay Minutes / Total Flights ở mọi trang.  (2) Scorecard &amp; narrative ĐỘNG (measure-driven), không hard-code — bài học lệch số từ Project 2.  (3) KHÔNG dùng YoY (chỉ có 2015) → [OTP Gap vs Industry] + MoM; nhãn ghi rõ "(vs Industry Avg)".  (4) Guardrail: Cancellation Rate % &amp; Diverted Rate %.  (5) Luôn dùng cột của Dim, không dùng cột trùng trong Fact.  (6) BẮT BUỘC trước khi model: map 486.165 dòng mã DOT của T10 về IATA.  (7) Dùng DIVIDE thay "/" vì 5 cột nguyên nhân null 81,7%.  (8) 5,82tr dòng → bỏ cột không dùng, siết kiểu dữ liệu để giảm dung lượng model.  (9) Gộp khung giờ 24 vào 0 (13.776 dòng SCHEDULED_DEPARTURE=2400) để trục giờ còn 24 giá trị.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</si>
</sst>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0"/>
      <color rgb="FF000000"/>
      <name val="Arial"/>
      <scheme val="minor"/>
    </font>
    <font>
      <b/>
      <sz val="14"/>
      <color rgb="FFFFFFFF"/>
      <name val="Arial"/>
    </font>
    <font>
      <b/>
      <i/>
      <sz val="12"/>
      <color theme="1"/>
      <name val="Arial"/>
    </font>
    <font>
      <sz val="10"/>
      <color theme="1"/>
      <name val="Arial"/>
    </font>
    <font>
      <sz val="10"/>
      <color theme="1"/>
      <name val="Arial"/>
      <scheme val="minor"/>
    </font>
    <font>
      <b/>
      <sz val="19"/>
      <color rgb="FF4A86E8"/>
      <name val="Arial"/>
      <scheme val="minor"/>
    </font>
    <font>
      <sz val="12"/>
      <color rgb="FF434343"/>
      <name val="Arial"/>
      <scheme val="minor"/>
    </font>
    <font>
      <b/>
      <sz val="8"/>
      <color rgb="FFFFFFFF"/>
      <name val="Arial"/>
      <scheme val="minor"/>
    </font>
    <font>
      <sz val="9"/>
      <color theme="1"/>
      <name val="Arial"/>
      <scheme val="minor"/>
    </font>
    <font>
      <sz val="8"/>
      <color theme="1"/>
      <name val="Arial"/>
      <scheme val="minor"/>
    </font>
    <font>
      <sz val="8"/>
      <color rgb="FF000000"/>
      <name val="Arial"/>
    </font>
    <font>
      <b/>
      <sz val="8"/>
      <color theme="1"/>
      <name val="Arial"/>
      <scheme val="minor"/>
    </font>
    <font>
      <b/>
      <sz val="9"/>
      <color theme="1"/>
      <name val="Arial"/>
      <scheme val="minor"/>
    </font>
    <font>
      <b/>
      <sz val="15"/>
      <color rgb="FF4A86E8"/>
      <name val="Arial"/>
      <scheme val="minor"/>
    </font>
    <font>
      <sz val="15"/>
      <color theme="1"/>
      <name val="Arial"/>
      <scheme val="minor"/>
    </font>
    <font>
      <b/>
      <sz val="10"/>
      <color rgb="FFFF0000"/>
      <name val="Arial"/>
      <scheme val="minor"/>
    </font>
    <font>
      <b/>
      <sz val="10"/>
      <color rgb="FFFFFFFF"/>
      <name val="Arial"/>
      <scheme val="minor"/>
    </font>
    <font>
      <b/>
      <sz val="10"/>
      <color theme="1"/>
      <name val="Arial"/>
      <scheme val="minor"/>
    </font>
    <font>
      <b/>
      <sz val="8"/>
      <color rgb="FFFFFFFF"/>
      <name val="Arial"/>
    </font>
    <font>
      <sz val="9"/>
      <color rgb="FF434343"/>
      <name val="Arial"/>
      <scheme val="minor"/>
    </font>
    <font>
      <i/>
      <sz val="9"/>
      <color theme="1"/>
      <name val="Arial"/>
      <scheme val="minor"/>
    </font>
    <font>
      <b/>
      <sz val="9"/>
      <color rgb="FFFFFFFF"/>
      <name val="Arial"/>
      <scheme val="minor"/>
    </font>
    <font>
      <b/>
      <sz val="13"/>
      <color rgb="FFFF0000"/>
      <name val="Arial"/>
      <scheme val="minor"/>
    </font>
    <font>
      <b/>
      <sz val="10"/>
      <color rgb="FFFFFFFF"/>
      <name val="Arial"/>
      <scheme val="minor"/>
    </font>
    <font>
      <i/>
      <sz val="10"/>
      <color rgb="FFFFFFFF"/>
      <name val="Arial"/>
      <scheme val="minor"/>
    </font>
    <font>
      <i/>
      <sz val="10"/>
      <color theme="1"/>
      <name val="Arial"/>
      <scheme val="minor"/>
    </font>
    <font>
      <b/>
      <sz val="9"/>
      <color rgb="FFB7B7B7"/>
      <name val="Arial"/>
      <scheme val="minor"/>
    </font>
    <font>
      <sz val="9"/>
      <color rgb="FFB7B7B7"/>
      <name val="Arial"/>
      <scheme val="minor"/>
    </font>
    <font>
      <b/>
      <sz val="11"/>
      <color rgb="FFFFFFFF"/>
      <name val="Arial"/>
    </font>
    <font>
      <b/>
      <sz val="11"/>
      <color rgb="FF000000"/>
      <name val="Arial"/>
    </font>
    <font>
      <sz val="11"/>
      <color rgb="FF000000"/>
      <name val="Arial"/>
    </font>
    <font>
      <b/>
      <i/>
      <sz val="11"/>
      <color rgb="FF000000"/>
      <name val="Arial"/>
    </font>
    <font>
      <b/>
      <sz val="8"/>
      <color rgb="FFFFFFFF"/>
      <name val="Arial"/>
      <family val="2"/>
      <scheme val="minor"/>
    </font>
    <font>
      <b/>
      <sz val="8"/>
      <color theme="1"/>
      <name val="Arial"/>
      <family val="2"/>
      <scheme val="minor"/>
    </font>
    <font>
      <sz val="8"/>
      <color theme="1"/>
      <name val="Arial"/>
      <family val="2"/>
      <scheme val="minor"/>
    </font>
    <font>
      <sz val="8"/>
      <color rgb="FF000000"/>
      <name val="Arial"/>
      <family val="2"/>
      <scheme val="minor"/>
    </font>
    <font>
      <sz val="8"/>
      <color rgb="FF000000"/>
      <name val="Arial"/>
      <family val="2"/>
    </font>
    <font>
      <b/>
      <sz val="8"/>
      <color rgb="FFFFFFFF"/>
      <name val="Arial"/>
      <family val="2"/>
    </font>
    <font>
      <b/>
      <sz val="19"/>
      <color rgb="FF4A86E8"/>
      <name val="Arial"/>
      <family val="2"/>
      <scheme val="minor"/>
    </font>
    <font>
      <sz val="10"/>
      <color rgb="FF000000"/>
      <name val="Arial"/>
      <family val="2"/>
      <scheme val="minor"/>
    </font>
    <font>
      <b/>
      <sz val="14"/>
      <color rgb="FF000000"/>
      <name val="Arial"/>
      <family val="2"/>
    </font>
    <font>
      <sz val="12"/>
      <color rgb="FF434343"/>
      <name val="Arial"/>
      <family val="2"/>
      <scheme val="minor"/>
    </font>
    <font>
      <b/>
      <sz val="10"/>
      <color theme="1"/>
      <name val="Arial"/>
      <family val="2"/>
      <scheme val="minor"/>
    </font>
    <font>
      <b/>
      <sz val="10"/>
      <color rgb="FFFFFFFF"/>
      <name val="Arial"/>
      <family val="2"/>
      <scheme val="minor"/>
    </font>
    <font>
      <sz val="8"/>
      <name val="Arial"/>
      <family val="2"/>
    </font>
    <font>
      <b/>
      <sz val="9"/>
      <color theme="1"/>
      <name val="Arial"/>
      <family val="2"/>
      <scheme val="minor"/>
    </font>
    <font>
      <sz val="10"/>
      <name val="Arial"/>
      <family val="2"/>
      <scheme val="minor"/>
    </font>
    <font>
      <sz val="8"/>
      <name val="Arial"/>
      <family val="2"/>
      <scheme val="minor"/>
    </font>
    <font>
      <sz val="9"/>
      <color theme="1"/>
      <name val="Arial"/>
      <family val="2"/>
      <scheme val="minor"/>
    </font>
  </fonts>
  <fills count="15">
    <fill>
      <patternFill patternType="none"/>
    </fill>
    <fill>
      <patternFill patternType="gray125"/>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6">
    <border>
      <left/>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style="thin">
        <color rgb="FF999999"/>
      </left>
      <right/>
      <top/>
      <bottom/>
      <diagonal/>
    </border>
    <border>
      <left/>
      <right style="thin">
        <color rgb="FF999999"/>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39" fillId="0" borderId="0"/>
  </cellStyleXfs>
  <cellXfs count="148">
    <xf numFmtId="0" fontId="0" fillId="0" borderId="0" xfId="0"/>
    <xf numFmtId="0" fontId="1" fillId="0" borderId="0" xfId="0" applyFont="1" applyAlignment="1">
      <alignment horizontal="center"/>
    </xf>
    <xf numFmtId="0" fontId="4" fillId="0" borderId="0" xfId="0" applyFont="1"/>
    <xf numFmtId="0" fontId="6" fillId="0" borderId="0" xfId="0" applyFont="1" applyAlignment="1">
      <alignment horizontal="center" vertical="center" wrapText="1"/>
    </xf>
    <xf numFmtId="0" fontId="8" fillId="0" borderId="0" xfId="0" applyFont="1" applyAlignment="1">
      <alignment vertical="top"/>
    </xf>
    <xf numFmtId="0" fontId="13" fillId="0" borderId="0" xfId="0" applyFont="1" applyAlignment="1">
      <alignment horizontal="center" vertical="center"/>
    </xf>
    <xf numFmtId="0" fontId="14" fillId="0" borderId="0" xfId="0" applyFont="1"/>
    <xf numFmtId="0" fontId="16" fillId="4" borderId="0" xfId="0" applyFont="1" applyFill="1" applyAlignment="1">
      <alignment vertical="center" wrapText="1"/>
    </xf>
    <xf numFmtId="0" fontId="17" fillId="0" borderId="0" xfId="0" applyFont="1" applyAlignment="1">
      <alignment horizontal="center"/>
    </xf>
    <xf numFmtId="0" fontId="12" fillId="0" borderId="0" xfId="0" applyFont="1"/>
    <xf numFmtId="0" fontId="4" fillId="0" borderId="0" xfId="0" applyFont="1" applyAlignment="1">
      <alignment vertical="center" wrapText="1"/>
    </xf>
    <xf numFmtId="0" fontId="19" fillId="0" borderId="0" xfId="0" applyFont="1" applyAlignment="1">
      <alignment horizontal="center" vertical="center"/>
    </xf>
    <xf numFmtId="0" fontId="8" fillId="0" borderId="0" xfId="0" applyFont="1" applyAlignment="1">
      <alignment vertical="center"/>
    </xf>
    <xf numFmtId="0" fontId="20" fillId="0" borderId="0" xfId="0" applyFont="1" applyAlignment="1">
      <alignment horizontal="center" vertical="center"/>
    </xf>
    <xf numFmtId="0" fontId="8" fillId="0" borderId="0" xfId="0" applyFont="1"/>
    <xf numFmtId="0" fontId="8" fillId="0" borderId="0" xfId="0" applyFont="1" applyAlignment="1">
      <alignment horizontal="center" vertical="center"/>
    </xf>
    <xf numFmtId="0" fontId="21" fillId="4" borderId="0" xfId="0" applyFont="1" applyFill="1" applyAlignment="1">
      <alignment horizontal="center" vertical="center"/>
    </xf>
    <xf numFmtId="0" fontId="21" fillId="4" borderId="0" xfId="0" applyFont="1" applyFill="1" applyAlignment="1">
      <alignment horizontal="center" vertical="center" wrapText="1"/>
    </xf>
    <xf numFmtId="0" fontId="21" fillId="7" borderId="0" xfId="0" applyFont="1" applyFill="1" applyAlignment="1">
      <alignment horizontal="center" vertical="center" wrapText="1"/>
    </xf>
    <xf numFmtId="0" fontId="8" fillId="7" borderId="0" xfId="0" applyFont="1" applyFill="1" applyAlignment="1">
      <alignment horizontal="left" vertical="center"/>
    </xf>
    <xf numFmtId="0" fontId="4" fillId="7" borderId="0" xfId="0" applyFont="1" applyFill="1"/>
    <xf numFmtId="0" fontId="1" fillId="0" borderId="0" xfId="0" applyFont="1" applyAlignment="1">
      <alignment horizontal="center" vertical="center"/>
    </xf>
    <xf numFmtId="0" fontId="23" fillId="4" borderId="0" xfId="0" applyFont="1" applyFill="1" applyAlignment="1">
      <alignment vertical="center" wrapText="1"/>
    </xf>
    <xf numFmtId="0" fontId="25" fillId="5" borderId="0" xfId="0" applyFont="1" applyFill="1" applyAlignment="1">
      <alignment horizontal="center" vertical="center"/>
    </xf>
    <xf numFmtId="0" fontId="25" fillId="6" borderId="0" xfId="0" applyFont="1" applyFill="1" applyAlignment="1">
      <alignment horizontal="center" vertical="center"/>
    </xf>
    <xf numFmtId="0" fontId="9" fillId="0" borderId="0" xfId="0" applyFont="1" applyAlignment="1">
      <alignment vertical="top"/>
    </xf>
    <xf numFmtId="0" fontId="9" fillId="0" borderId="0" xfId="0" applyFont="1"/>
    <xf numFmtId="0" fontId="27" fillId="0" borderId="0" xfId="0" applyFont="1"/>
    <xf numFmtId="0" fontId="4" fillId="5" borderId="0" xfId="0" applyFont="1" applyFill="1" applyAlignment="1">
      <alignment horizontal="center"/>
    </xf>
    <xf numFmtId="0" fontId="4" fillId="8" borderId="0" xfId="0" applyFont="1" applyFill="1" applyAlignment="1">
      <alignment horizontal="center"/>
    </xf>
    <xf numFmtId="0" fontId="4" fillId="9" borderId="0" xfId="0" applyFont="1" applyFill="1" applyAlignment="1">
      <alignment horizontal="center"/>
    </xf>
    <xf numFmtId="0" fontId="17" fillId="0" borderId="0" xfId="0" applyFont="1" applyAlignment="1">
      <alignment horizontal="left" vertical="center" wrapText="1"/>
    </xf>
    <xf numFmtId="0" fontId="28" fillId="2" borderId="9" xfId="0" applyFont="1" applyFill="1" applyBorder="1" applyAlignment="1">
      <alignment vertical="center" wrapText="1"/>
    </xf>
    <xf numFmtId="0" fontId="30" fillId="7" borderId="9" xfId="0" applyFont="1" applyFill="1" applyBorder="1" applyAlignment="1">
      <alignment vertical="center" wrapText="1"/>
    </xf>
    <xf numFmtId="0" fontId="30" fillId="0" borderId="9" xfId="0" applyFont="1" applyBorder="1" applyAlignment="1">
      <alignment vertical="center" wrapText="1"/>
    </xf>
    <xf numFmtId="0" fontId="29" fillId="13" borderId="9" xfId="0" applyFont="1" applyFill="1" applyBorder="1" applyAlignment="1">
      <alignment vertical="center" wrapText="1"/>
    </xf>
    <xf numFmtId="0" fontId="29" fillId="14" borderId="9" xfId="0" applyFont="1" applyFill="1" applyBorder="1" applyAlignment="1">
      <alignment vertical="center" wrapText="1"/>
    </xf>
    <xf numFmtId="0" fontId="31" fillId="0" borderId="9" xfId="0" applyFont="1" applyBorder="1" applyAlignment="1">
      <alignment vertical="center" wrapText="1"/>
    </xf>
    <xf numFmtId="0" fontId="0" fillId="0" borderId="0" xfId="0" applyAlignment="1">
      <alignment vertical="top"/>
    </xf>
    <xf numFmtId="0" fontId="0" fillId="0" borderId="0" xfId="0" applyAlignment="1">
      <alignment horizontal="left" vertical="top"/>
    </xf>
    <xf numFmtId="0" fontId="35" fillId="0" borderId="0" xfId="0" applyFont="1" applyAlignment="1">
      <alignment horizontal="left" vertical="top" wrapText="1"/>
    </xf>
    <xf numFmtId="0" fontId="42" fillId="0" borderId="0" xfId="0" applyFont="1" applyAlignment="1">
      <alignment horizontal="center"/>
    </xf>
    <xf numFmtId="0" fontId="25" fillId="5" borderId="0" xfId="0" applyFont="1" applyFill="1" applyAlignment="1">
      <alignment horizontal="center" vertical="center"/>
    </xf>
    <xf numFmtId="0" fontId="0" fillId="0" borderId="0" xfId="0"/>
    <xf numFmtId="0" fontId="6" fillId="7" borderId="0" xfId="0" applyFont="1" applyFill="1" applyAlignment="1">
      <alignment horizontal="center" vertical="center" wrapText="1"/>
    </xf>
    <xf numFmtId="0" fontId="48" fillId="5" borderId="0" xfId="0" applyFont="1" applyFill="1" applyAlignment="1">
      <alignment horizontal="left" vertical="center" wrapText="1"/>
    </xf>
    <xf numFmtId="0" fontId="22" fillId="0" borderId="0" xfId="0" applyFont="1" applyAlignment="1">
      <alignment vertical="center"/>
    </xf>
    <xf numFmtId="0" fontId="34" fillId="5" borderId="0" xfId="0" applyFont="1" applyFill="1" applyAlignment="1">
      <alignment vertical="top" wrapText="1"/>
    </xf>
    <xf numFmtId="0" fontId="0" fillId="0" borderId="0" xfId="0" applyAlignment="1">
      <alignment vertical="top"/>
    </xf>
    <xf numFmtId="0" fontId="34" fillId="5" borderId="0" xfId="0" applyFont="1" applyFill="1" applyAlignment="1">
      <alignment horizontal="left" vertical="top" wrapText="1"/>
    </xf>
    <xf numFmtId="0" fontId="8" fillId="5" borderId="0" xfId="0" applyFont="1" applyFill="1" applyAlignment="1">
      <alignment horizontal="left" vertical="center" wrapText="1"/>
    </xf>
    <xf numFmtId="0" fontId="4" fillId="0" borderId="0" xfId="0" applyFont="1" applyAlignment="1">
      <alignment horizontal="center" vertical="center"/>
    </xf>
    <xf numFmtId="0" fontId="0" fillId="0" borderId="0" xfId="0" applyAlignment="1">
      <alignment horizontal="left" vertical="top"/>
    </xf>
    <xf numFmtId="0" fontId="25" fillId="6" borderId="0" xfId="0" applyFont="1" applyFill="1" applyAlignment="1">
      <alignment horizontal="center" vertical="center"/>
    </xf>
    <xf numFmtId="0" fontId="44" fillId="5" borderId="0" xfId="1" quotePrefix="1" applyFont="1" applyFill="1" applyAlignment="1">
      <alignment horizontal="left" vertical="top" wrapText="1"/>
    </xf>
    <xf numFmtId="0" fontId="1" fillId="2" borderId="13" xfId="0" applyFont="1" applyFill="1" applyBorder="1" applyAlignment="1">
      <alignment horizontal="center" vertical="center"/>
    </xf>
    <xf numFmtId="0" fontId="0" fillId="0" borderId="2" xfId="0" applyBorder="1"/>
    <xf numFmtId="0" fontId="0" fillId="0" borderId="3" xfId="0" applyBorder="1"/>
    <xf numFmtId="0" fontId="44" fillId="5" borderId="0" xfId="0" quotePrefix="1" applyFont="1" applyFill="1" applyAlignment="1">
      <alignment horizontal="left" vertical="top" wrapText="1"/>
    </xf>
    <xf numFmtId="0" fontId="16" fillId="4" borderId="0" xfId="0" applyFont="1" applyFill="1" applyAlignment="1">
      <alignment vertical="center"/>
    </xf>
    <xf numFmtId="0" fontId="43" fillId="4" borderId="0" xfId="0" applyFont="1" applyFill="1" applyAlignment="1">
      <alignment vertical="center" wrapText="1"/>
    </xf>
    <xf numFmtId="0" fontId="32" fillId="4" borderId="0" xfId="0" applyFont="1" applyFill="1" applyAlignment="1">
      <alignment horizontal="center" vertical="center" wrapText="1"/>
    </xf>
    <xf numFmtId="0" fontId="7" fillId="4" borderId="0" xfId="0" applyFont="1" applyFill="1" applyAlignment="1">
      <alignment horizontal="center" vertical="center"/>
    </xf>
    <xf numFmtId="0" fontId="23" fillId="4" borderId="0" xfId="0" applyFont="1" applyFill="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6" fillId="5" borderId="0" xfId="0" applyFont="1" applyFill="1" applyAlignment="1">
      <alignment horizontal="left" vertical="top" wrapText="1"/>
    </xf>
    <xf numFmtId="0" fontId="44" fillId="5" borderId="0" xfId="0" applyFont="1" applyFill="1" applyAlignment="1">
      <alignment horizontal="left" vertical="top" wrapText="1"/>
    </xf>
    <xf numFmtId="0" fontId="46" fillId="0" borderId="0" xfId="0" applyFont="1" applyAlignment="1">
      <alignment horizontal="left" vertical="top"/>
    </xf>
    <xf numFmtId="0" fontId="46" fillId="0" borderId="0" xfId="0" applyFont="1" applyAlignment="1">
      <alignment vertical="top"/>
    </xf>
    <xf numFmtId="0" fontId="40" fillId="6" borderId="13" xfId="0" applyFont="1" applyFill="1" applyBorder="1" applyAlignment="1">
      <alignment horizontal="center" vertical="center"/>
    </xf>
    <xf numFmtId="0" fontId="7" fillId="4" borderId="0" xfId="0" applyFont="1" applyFill="1" applyAlignment="1">
      <alignment horizontal="left" vertical="center" wrapText="1"/>
    </xf>
    <xf numFmtId="0" fontId="7" fillId="4" borderId="0" xfId="0" applyFont="1" applyFill="1" applyAlignment="1">
      <alignment horizontal="center" vertical="center" wrapText="1"/>
    </xf>
    <xf numFmtId="0" fontId="45" fillId="0" borderId="0" xfId="0" applyFont="1" applyAlignment="1">
      <alignment wrapText="1"/>
    </xf>
    <xf numFmtId="0" fontId="34" fillId="0" borderId="0" xfId="0" applyFont="1" applyAlignment="1">
      <alignment horizontal="left" vertical="top" wrapText="1"/>
    </xf>
    <xf numFmtId="0" fontId="6" fillId="0" borderId="0" xfId="0" applyFont="1" applyAlignment="1">
      <alignment horizontal="center" vertical="center" wrapText="1"/>
    </xf>
    <xf numFmtId="0" fontId="38" fillId="0" borderId="0" xfId="0" applyFont="1" applyAlignment="1">
      <alignment horizontal="left" vertical="top"/>
    </xf>
    <xf numFmtId="0" fontId="32" fillId="4" borderId="0" xfId="0" applyFont="1" applyFill="1" applyAlignment="1">
      <alignment horizontal="center" vertical="center"/>
    </xf>
    <xf numFmtId="0" fontId="15" fillId="0" borderId="0" xfId="0" applyFont="1" applyAlignment="1">
      <alignment horizontal="center"/>
    </xf>
    <xf numFmtId="0" fontId="24" fillId="4" borderId="0" xfId="0" applyFont="1" applyFill="1" applyAlignment="1">
      <alignment horizontal="center" vertical="center"/>
    </xf>
    <xf numFmtId="0" fontId="34" fillId="5" borderId="0" xfId="0" applyFont="1" applyFill="1" applyAlignment="1">
      <alignment horizontal="left" vertical="center" wrapText="1"/>
    </xf>
    <xf numFmtId="0" fontId="13" fillId="0" borderId="0" xfId="0" applyFont="1" applyAlignment="1">
      <alignment horizontal="center" vertical="center"/>
    </xf>
    <xf numFmtId="0" fontId="8" fillId="0" borderId="0" xfId="0" applyFont="1" applyAlignment="1">
      <alignment horizontal="left" vertical="center" wrapText="1"/>
    </xf>
    <xf numFmtId="0" fontId="16" fillId="4" borderId="0" xfId="0" applyFont="1" applyFill="1" applyAlignment="1">
      <alignment horizontal="center" vertical="center" wrapText="1"/>
    </xf>
    <xf numFmtId="0" fontId="33" fillId="5" borderId="0" xfId="0" applyFont="1" applyFill="1" applyAlignment="1">
      <alignment vertical="top" wrapText="1"/>
    </xf>
    <xf numFmtId="0" fontId="8" fillId="5" borderId="0" xfId="0" applyFont="1" applyFill="1" applyAlignment="1">
      <alignment horizontal="center" vertical="center" wrapText="1"/>
    </xf>
    <xf numFmtId="0" fontId="21" fillId="4" borderId="0" xfId="0" applyFont="1" applyFill="1" applyAlignment="1">
      <alignment horizontal="center" vertical="center" wrapText="1"/>
    </xf>
    <xf numFmtId="0" fontId="1" fillId="2" borderId="13" xfId="0" applyFont="1" applyFill="1" applyBorder="1" applyAlignment="1">
      <alignment horizontal="center"/>
    </xf>
    <xf numFmtId="0" fontId="1" fillId="2" borderId="1" xfId="0" applyFont="1" applyFill="1" applyBorder="1" applyAlignment="1">
      <alignment horizontal="center" vertical="center"/>
    </xf>
    <xf numFmtId="0" fontId="2" fillId="0" borderId="14" xfId="0" applyFont="1" applyBorder="1"/>
    <xf numFmtId="0" fontId="0" fillId="0" borderId="5" xfId="0" applyBorder="1"/>
    <xf numFmtId="0" fontId="0" fillId="0" borderId="6" xfId="0" applyBorder="1"/>
    <xf numFmtId="0" fontId="44" fillId="5" borderId="15" xfId="0" applyFont="1" applyFill="1" applyBorder="1" applyAlignment="1">
      <alignment vertical="top" wrapText="1"/>
    </xf>
    <xf numFmtId="0" fontId="35" fillId="0" borderId="0" xfId="0" applyFont="1" applyAlignment="1">
      <alignment vertical="top"/>
    </xf>
    <xf numFmtId="0" fontId="41" fillId="0" borderId="0" xfId="0" applyFont="1" applyAlignment="1">
      <alignment horizontal="center" vertical="center" wrapText="1"/>
    </xf>
    <xf numFmtId="0" fontId="36" fillId="5" borderId="0" xfId="0" quotePrefix="1" applyFont="1" applyFill="1" applyAlignment="1">
      <alignment horizontal="left" vertical="top" wrapText="1"/>
    </xf>
    <xf numFmtId="0" fontId="4" fillId="0" borderId="0" xfId="0" applyFont="1" applyAlignment="1">
      <alignment vertical="center" wrapText="1"/>
    </xf>
    <xf numFmtId="0" fontId="16" fillId="4" borderId="0" xfId="0" applyFont="1" applyFill="1" applyAlignment="1">
      <alignment vertical="center" wrapText="1"/>
    </xf>
    <xf numFmtId="0" fontId="44" fillId="5" borderId="0" xfId="1" applyFont="1" applyFill="1" applyAlignment="1">
      <alignment horizontal="left" vertical="top" wrapText="1"/>
    </xf>
    <xf numFmtId="0" fontId="47" fillId="5" borderId="0" xfId="0" applyFont="1" applyFill="1" applyAlignment="1">
      <alignment horizontal="left" vertical="top" wrapText="1"/>
    </xf>
    <xf numFmtId="0" fontId="46" fillId="0" borderId="0" xfId="0" applyFont="1"/>
    <xf numFmtId="0" fontId="3" fillId="3" borderId="14" xfId="0" applyFont="1" applyFill="1" applyBorder="1" applyAlignment="1">
      <alignment vertical="center" wrapText="1"/>
    </xf>
    <xf numFmtId="0" fontId="0" fillId="0" borderId="8" xfId="0" applyBorder="1"/>
    <xf numFmtId="0" fontId="0" fillId="0" borderId="4" xfId="0" applyBorder="1"/>
    <xf numFmtId="0" fontId="37" fillId="4" borderId="0" xfId="0" applyFont="1" applyFill="1" applyAlignment="1">
      <alignment horizontal="left" vertical="top" wrapText="1"/>
    </xf>
    <xf numFmtId="0" fontId="0" fillId="0" borderId="0" xfId="0" applyAlignment="1">
      <alignment horizontal="center" vertical="top" wrapText="1"/>
    </xf>
    <xf numFmtId="0" fontId="18" fillId="4" borderId="0" xfId="0" applyFont="1" applyFill="1" applyAlignment="1">
      <alignment horizontal="center"/>
    </xf>
    <xf numFmtId="0" fontId="20" fillId="0" borderId="0" xfId="0" applyFont="1" applyAlignment="1">
      <alignment horizontal="center" vertical="center"/>
    </xf>
    <xf numFmtId="0" fontId="9" fillId="0" borderId="0" xfId="0" applyFont="1" applyAlignment="1">
      <alignment vertical="top"/>
    </xf>
    <xf numFmtId="0" fontId="20" fillId="0" borderId="0" xfId="0" applyFont="1" applyAlignment="1">
      <alignment vertical="center" wrapText="1"/>
    </xf>
    <xf numFmtId="0" fontId="8" fillId="0" borderId="0" xfId="0" applyFont="1"/>
    <xf numFmtId="0" fontId="25" fillId="0" borderId="0" xfId="0" applyFont="1" applyAlignment="1">
      <alignment horizontal="center" vertical="center"/>
    </xf>
    <xf numFmtId="0" fontId="8" fillId="0" borderId="0" xfId="0" applyFont="1" applyAlignment="1">
      <alignment vertical="center"/>
    </xf>
    <xf numFmtId="0" fontId="17" fillId="0" borderId="0" xfId="0" applyFont="1" applyAlignment="1">
      <alignment horizontal="center" vertical="center"/>
    </xf>
    <xf numFmtId="0" fontId="4" fillId="0" borderId="0" xfId="0" applyFont="1" applyAlignment="1">
      <alignment horizontal="center" vertical="top"/>
    </xf>
    <xf numFmtId="0" fontId="8" fillId="0" borderId="0" xfId="0" applyFont="1" applyAlignment="1">
      <alignment vertical="center" wrapText="1"/>
    </xf>
    <xf numFmtId="0" fontId="19" fillId="0" borderId="0" xfId="0" applyFont="1" applyAlignment="1">
      <alignment horizontal="center" vertical="center" wrapText="1"/>
    </xf>
    <xf numFmtId="0" fontId="9" fillId="0" borderId="0" xfId="0" applyFont="1" applyAlignment="1">
      <alignment vertical="top" wrapText="1"/>
    </xf>
    <xf numFmtId="0" fontId="12" fillId="0" borderId="0" xfId="0" applyFont="1" applyAlignment="1">
      <alignment horizontal="center" vertical="center"/>
    </xf>
    <xf numFmtId="0" fontId="9" fillId="0" borderId="0" xfId="0" applyFont="1" applyAlignment="1">
      <alignment wrapText="1"/>
    </xf>
    <xf numFmtId="0" fontId="0" fillId="0" borderId="7" xfId="0" applyBorder="1"/>
    <xf numFmtId="0" fontId="9" fillId="0" borderId="0" xfId="0" applyFont="1"/>
    <xf numFmtId="0" fontId="4" fillId="0" borderId="0" xfId="0" applyFont="1"/>
    <xf numFmtId="0" fontId="11" fillId="0" borderId="0" xfId="0" applyFont="1" applyAlignment="1">
      <alignment horizontal="center" vertical="center" wrapText="1"/>
    </xf>
    <xf numFmtId="0" fontId="11"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left" vertical="center"/>
    </xf>
    <xf numFmtId="0" fontId="3" fillId="3" borderId="6" xfId="0" applyFont="1" applyFill="1" applyBorder="1"/>
    <xf numFmtId="0" fontId="4" fillId="0" borderId="0" xfId="0" applyFont="1" applyAlignment="1">
      <alignment vertical="center"/>
    </xf>
    <xf numFmtId="0" fontId="26" fillId="0" borderId="0" xfId="0" applyFont="1" applyAlignment="1">
      <alignment horizontal="center" vertical="center"/>
    </xf>
    <xf numFmtId="0" fontId="12" fillId="0" borderId="0" xfId="0" applyFont="1" applyAlignment="1">
      <alignment vertical="center"/>
    </xf>
    <xf numFmtId="0" fontId="20" fillId="0" borderId="0" xfId="0" applyFont="1" applyAlignment="1">
      <alignment horizontal="left" vertical="center" wrapText="1"/>
    </xf>
    <xf numFmtId="0" fontId="8" fillId="0" borderId="0" xfId="0" applyFont="1" applyAlignment="1">
      <alignment horizontal="center" vertical="center"/>
    </xf>
    <xf numFmtId="0" fontId="15" fillId="0" borderId="0" xfId="0" applyFont="1" applyAlignment="1">
      <alignment horizontal="center" vertical="center"/>
    </xf>
    <xf numFmtId="0" fontId="4" fillId="0" borderId="0" xfId="0" applyFont="1" applyAlignment="1">
      <alignment horizontal="center" vertical="center" wrapText="1"/>
    </xf>
    <xf numFmtId="0" fontId="19" fillId="0" borderId="0" xfId="0" applyFont="1" applyAlignment="1">
      <alignment horizontal="center" vertical="center"/>
    </xf>
    <xf numFmtId="0" fontId="1" fillId="2" borderId="1" xfId="0" applyFont="1" applyFill="1" applyBorder="1" applyAlignment="1">
      <alignment horizontal="center"/>
    </xf>
    <xf numFmtId="0" fontId="3" fillId="3" borderId="14" xfId="0" applyFont="1" applyFill="1" applyBorder="1"/>
    <xf numFmtId="0" fontId="4" fillId="10" borderId="0" xfId="0" applyFont="1" applyFill="1" applyAlignment="1">
      <alignment horizontal="center" vertical="center"/>
    </xf>
    <xf numFmtId="0" fontId="10" fillId="7" borderId="0" xfId="0" applyFont="1" applyFill="1" applyAlignment="1">
      <alignment horizontal="left" wrapText="1"/>
    </xf>
    <xf numFmtId="0" fontId="30" fillId="0" borderId="9" xfId="0" applyFont="1" applyBorder="1" applyAlignment="1">
      <alignment vertical="center" wrapText="1"/>
    </xf>
    <xf numFmtId="0" fontId="0" fillId="0" borderId="10" xfId="0" applyBorder="1"/>
    <xf numFmtId="0" fontId="0" fillId="0" borderId="11" xfId="0" applyBorder="1"/>
    <xf numFmtId="0" fontId="29" fillId="12" borderId="9" xfId="0" applyFont="1" applyFill="1" applyBorder="1" applyAlignment="1">
      <alignment vertical="center" wrapText="1"/>
    </xf>
    <xf numFmtId="0" fontId="29" fillId="5" borderId="9" xfId="0" applyFont="1" applyFill="1" applyBorder="1" applyAlignment="1">
      <alignment vertical="center" wrapText="1"/>
    </xf>
    <xf numFmtId="0" fontId="29" fillId="11" borderId="9" xfId="0" applyFont="1" applyFill="1" applyBorder="1" applyAlignment="1">
      <alignment vertical="center" wrapText="1"/>
    </xf>
    <xf numFmtId="0" fontId="30" fillId="7" borderId="9" xfId="0" applyFont="1" applyFill="1" applyBorder="1" applyAlignment="1">
      <alignment vertical="center" wrapText="1"/>
    </xf>
    <xf numFmtId="0" fontId="0" fillId="0" borderId="12" xfId="0"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6.png"/><Relationship Id="rId7" Type="http://schemas.openxmlformats.org/officeDocument/2006/relationships/image" Target="../media/image1.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13</xdr:col>
      <xdr:colOff>628650</xdr:colOff>
      <xdr:row>12</xdr:row>
      <xdr:rowOff>19050</xdr:rowOff>
    </xdr:from>
    <xdr:ext cx="533400" cy="695325"/>
    <xdr:pic>
      <xdr:nvPicPr>
        <xdr:cNvPr id="2" name="image9.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5</xdr:col>
      <xdr:colOff>771525</xdr:colOff>
      <xdr:row>59</xdr:row>
      <xdr:rowOff>19050</xdr:rowOff>
    </xdr:from>
    <xdr:ext cx="7458075" cy="2476500"/>
    <xdr:pic>
      <xdr:nvPicPr>
        <xdr:cNvPr id="3" name="image8.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9525</xdr:colOff>
      <xdr:row>59</xdr:row>
      <xdr:rowOff>114300</xdr:rowOff>
    </xdr:from>
    <xdr:ext cx="5534025" cy="2133600"/>
    <xdr:pic>
      <xdr:nvPicPr>
        <xdr:cNvPr id="4" name="image7.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419100</xdr:colOff>
      <xdr:row>16</xdr:row>
      <xdr:rowOff>38100</xdr:rowOff>
    </xdr:from>
    <xdr:ext cx="457200" cy="342900"/>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390525</xdr:colOff>
      <xdr:row>16</xdr:row>
      <xdr:rowOff>38100</xdr:rowOff>
    </xdr:from>
    <xdr:ext cx="457200" cy="342900"/>
    <xdr:pic>
      <xdr:nvPicPr>
        <xdr:cNvPr id="4" name="image2.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7</xdr:col>
      <xdr:colOff>361950</xdr:colOff>
      <xdr:row>16</xdr:row>
      <xdr:rowOff>38100</xdr:rowOff>
    </xdr:from>
    <xdr:ext cx="533400" cy="342900"/>
    <xdr:pic>
      <xdr:nvPicPr>
        <xdr:cNvPr id="5" name="image6.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619125</xdr:colOff>
      <xdr:row>18</xdr:row>
      <xdr:rowOff>276225</xdr:rowOff>
    </xdr:from>
    <xdr:ext cx="190500" cy="409575"/>
    <xdr:pic>
      <xdr:nvPicPr>
        <xdr:cNvPr id="6" name="image5.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619125</xdr:colOff>
      <xdr:row>21</xdr:row>
      <xdr:rowOff>257175</xdr:rowOff>
    </xdr:from>
    <xdr:ext cx="190500" cy="409575"/>
    <xdr:pic>
      <xdr:nvPicPr>
        <xdr:cNvPr id="7" name="image5.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18</xdr:row>
      <xdr:rowOff>276225</xdr:rowOff>
    </xdr:from>
    <xdr:ext cx="190500" cy="409575"/>
    <xdr:pic>
      <xdr:nvPicPr>
        <xdr:cNvPr id="8" name="image5.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21</xdr:row>
      <xdr:rowOff>257175</xdr:rowOff>
    </xdr:from>
    <xdr:ext cx="190500" cy="409575"/>
    <xdr:pic>
      <xdr:nvPicPr>
        <xdr:cNvPr id="9" name="image5.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18</xdr:row>
      <xdr:rowOff>276225</xdr:rowOff>
    </xdr:from>
    <xdr:ext cx="190500" cy="409575"/>
    <xdr:pic>
      <xdr:nvPicPr>
        <xdr:cNvPr id="10" name="image5.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21</xdr:row>
      <xdr:rowOff>257175</xdr:rowOff>
    </xdr:from>
    <xdr:ext cx="190500" cy="409575"/>
    <xdr:pic>
      <xdr:nvPicPr>
        <xdr:cNvPr id="11" name="image5.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18</xdr:row>
      <xdr:rowOff>276225</xdr:rowOff>
    </xdr:from>
    <xdr:ext cx="190500" cy="409575"/>
    <xdr:pic>
      <xdr:nvPicPr>
        <xdr:cNvPr id="12" name="image5.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21</xdr:row>
      <xdr:rowOff>257175</xdr:rowOff>
    </xdr:from>
    <xdr:ext cx="190500" cy="409575"/>
    <xdr:pic>
      <xdr:nvPicPr>
        <xdr:cNvPr id="13" name="image5.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21</xdr:row>
      <xdr:rowOff>257175</xdr:rowOff>
    </xdr:from>
    <xdr:ext cx="190500" cy="409575"/>
    <xdr:pic>
      <xdr:nvPicPr>
        <xdr:cNvPr id="14" name="image5.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18</xdr:row>
      <xdr:rowOff>276225</xdr:rowOff>
    </xdr:from>
    <xdr:ext cx="190500" cy="409575"/>
    <xdr:pic>
      <xdr:nvPicPr>
        <xdr:cNvPr id="15" name="image5.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16</xdr:row>
      <xdr:rowOff>38100</xdr:rowOff>
    </xdr:from>
    <xdr:ext cx="314325" cy="342900"/>
    <xdr:pic>
      <xdr:nvPicPr>
        <xdr:cNvPr id="16" name="image4.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13</xdr:col>
      <xdr:colOff>638175</xdr:colOff>
      <xdr:row>17</xdr:row>
      <xdr:rowOff>276225</xdr:rowOff>
    </xdr:from>
    <xdr:ext cx="533400" cy="695325"/>
    <xdr:pic>
      <xdr:nvPicPr>
        <xdr:cNvPr id="17" name="image9.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5</xdr:col>
      <xdr:colOff>771525</xdr:colOff>
      <xdr:row>67</xdr:row>
      <xdr:rowOff>19050</xdr:rowOff>
    </xdr:from>
    <xdr:ext cx="7458075" cy="2476500"/>
    <xdr:pic>
      <xdr:nvPicPr>
        <xdr:cNvPr id="18" name="image8.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9525</xdr:colOff>
      <xdr:row>67</xdr:row>
      <xdr:rowOff>114300</xdr:rowOff>
    </xdr:from>
    <xdr:ext cx="5534025" cy="2133600"/>
    <xdr:pic>
      <xdr:nvPicPr>
        <xdr:cNvPr id="19" name="image7.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
  <sheetViews>
    <sheetView tabSelected="1" topLeftCell="A9" zoomScale="115" zoomScaleNormal="115" workbookViewId="0">
      <selection activeCell="C75" sqref="C75:J79"/>
    </sheetView>
  </sheetViews>
  <sheetFormatPr defaultColWidth="12.6640625" defaultRowHeight="15.75" customHeight="1" x14ac:dyDescent="0.25"/>
  <cols>
    <col min="1" max="1" width="13.44140625" customWidth="1"/>
    <col min="2" max="4" width="17.109375" customWidth="1"/>
    <col min="5" max="5" width="13.6640625" customWidth="1"/>
    <col min="12" max="12" width="15.109375" customWidth="1"/>
    <col min="13" max="13" width="23.88671875" customWidth="1"/>
    <col min="14" max="16" width="13" customWidth="1"/>
    <col min="17" max="17" width="24.88671875" customWidth="1"/>
    <col min="21" max="21" width="25.21875" customWidth="1"/>
    <col min="23" max="23" width="12.77734375" customWidth="1"/>
  </cols>
  <sheetData>
    <row r="1" spans="1:25" ht="17.399999999999999" customHeight="1" x14ac:dyDescent="0.3">
      <c r="A1" s="87"/>
      <c r="B1" s="56"/>
      <c r="C1" s="56"/>
      <c r="D1" s="56"/>
      <c r="E1" s="56"/>
      <c r="F1" s="56"/>
      <c r="G1" s="56"/>
      <c r="H1" s="56"/>
      <c r="I1" s="57"/>
      <c r="R1" s="1"/>
      <c r="S1" s="1"/>
      <c r="T1" s="1"/>
    </row>
    <row r="2" spans="1:25" ht="15.6" customHeight="1" x14ac:dyDescent="0.3">
      <c r="A2" s="89" t="s">
        <v>0</v>
      </c>
      <c r="B2" s="90"/>
      <c r="C2" s="90"/>
      <c r="D2" s="90"/>
      <c r="E2" s="90"/>
      <c r="F2" s="90"/>
      <c r="G2" s="90"/>
      <c r="H2" s="90"/>
      <c r="I2" s="91"/>
    </row>
    <row r="3" spans="1:25" ht="32.25" customHeight="1" x14ac:dyDescent="0.25">
      <c r="A3" s="101" t="s">
        <v>1</v>
      </c>
      <c r="B3" s="43"/>
      <c r="C3" s="43"/>
      <c r="D3" s="43"/>
      <c r="E3" s="43"/>
      <c r="F3" s="43"/>
      <c r="G3" s="43"/>
      <c r="H3" s="43"/>
      <c r="I3" s="102"/>
    </row>
    <row r="4" spans="1:25" ht="32.25" customHeight="1" x14ac:dyDescent="0.25">
      <c r="A4" s="103"/>
      <c r="B4" s="90"/>
      <c r="C4" s="90"/>
      <c r="D4" s="90"/>
      <c r="E4" s="90"/>
      <c r="F4" s="90"/>
      <c r="G4" s="90"/>
      <c r="H4" s="90"/>
      <c r="I4" s="91"/>
    </row>
    <row r="5" spans="1:25" ht="15.6" customHeight="1" x14ac:dyDescent="0.3">
      <c r="A5" s="89" t="s">
        <v>2</v>
      </c>
      <c r="B5" s="90"/>
      <c r="C5" s="90"/>
      <c r="D5" s="90"/>
      <c r="E5" s="90"/>
      <c r="F5" s="90"/>
      <c r="G5" s="90"/>
      <c r="H5" s="90"/>
      <c r="I5" s="91"/>
    </row>
    <row r="6" spans="1:25" ht="13.2" customHeight="1" x14ac:dyDescent="0.25">
      <c r="A6" s="2"/>
    </row>
    <row r="7" spans="1:25" ht="13.2" customHeight="1" x14ac:dyDescent="0.25">
      <c r="A7" s="2"/>
    </row>
    <row r="8" spans="1:25" ht="27.75" customHeight="1" x14ac:dyDescent="0.25">
      <c r="A8" s="55" t="s">
        <v>3</v>
      </c>
      <c r="B8" s="56"/>
      <c r="C8" s="56"/>
      <c r="D8" s="56"/>
      <c r="E8" s="56"/>
      <c r="F8" s="56"/>
      <c r="G8" s="56"/>
      <c r="H8" s="56"/>
      <c r="I8" s="56"/>
      <c r="J8" s="56"/>
      <c r="K8" s="56"/>
      <c r="L8" s="56"/>
      <c r="M8" s="56"/>
      <c r="N8" s="56"/>
      <c r="O8" s="56"/>
      <c r="P8" s="56"/>
      <c r="Q8" s="56"/>
      <c r="R8" s="56"/>
      <c r="S8" s="56"/>
      <c r="T8" s="56"/>
      <c r="U8" s="57"/>
    </row>
    <row r="9" spans="1:25" ht="39" customHeight="1" x14ac:dyDescent="0.25">
      <c r="A9" s="65" t="s">
        <v>4</v>
      </c>
      <c r="B9" s="43"/>
      <c r="C9" s="43"/>
      <c r="D9" s="43"/>
      <c r="E9" s="43"/>
      <c r="F9" s="43"/>
      <c r="G9" s="43"/>
      <c r="H9" s="43"/>
      <c r="I9" s="43"/>
      <c r="J9" s="43"/>
      <c r="K9" s="75" t="s">
        <v>5</v>
      </c>
      <c r="L9" s="65" t="s">
        <v>6</v>
      </c>
      <c r="M9" s="43"/>
      <c r="N9" s="43"/>
      <c r="O9" s="43"/>
      <c r="P9" s="43"/>
      <c r="Q9" s="43"/>
      <c r="R9" s="75" t="s">
        <v>7</v>
      </c>
      <c r="S9" s="64" t="s">
        <v>8</v>
      </c>
      <c r="T9" s="43"/>
      <c r="U9" s="43"/>
    </row>
    <row r="10" spans="1:25" ht="29.25" customHeight="1" x14ac:dyDescent="0.25">
      <c r="A10" s="72" t="s">
        <v>9</v>
      </c>
      <c r="B10" s="43"/>
      <c r="C10" s="77" t="s">
        <v>10</v>
      </c>
      <c r="D10" s="43"/>
      <c r="E10" s="72" t="s">
        <v>11</v>
      </c>
      <c r="F10" s="43"/>
      <c r="G10" s="72" t="s">
        <v>12</v>
      </c>
      <c r="H10" s="43"/>
      <c r="I10" s="72" t="s">
        <v>13</v>
      </c>
      <c r="J10" s="43"/>
      <c r="K10" s="43"/>
      <c r="L10" s="71" t="s">
        <v>14</v>
      </c>
      <c r="M10" s="43"/>
      <c r="N10" s="71" t="s">
        <v>15</v>
      </c>
      <c r="O10" s="43"/>
      <c r="P10" s="71" t="s">
        <v>16</v>
      </c>
      <c r="Q10" s="43"/>
      <c r="R10" s="43"/>
      <c r="S10" s="4" t="inlineStr">
        <is>
          <t xml:space="preserve">Table number: 17</t>
        </is>
      </c>
      <c r="T10" s="4" t="inlineStr">
        <is>
          <t xml:space="preserve">Fact: 1 · Dim: 10</t>
        </is>
      </c>
      <c r="U10" s="4" t="inlineStr">
        <is>
          <t xml:space="preserve">Field parameter: 4 · Bảng rời: 2</t>
        </is>
      </c>
    </row>
    <row r="11" spans="1:25" s="38" customFormat="1" ht="79.5" customHeight="1" x14ac:dyDescent="0.25">
      <c r="A11" s="47" t="inlineStr">
        <is>
          <t xml:space="preserve">KEY STAKEHOLDER
• Head of Retail Banking
STAKEHOLDER KHÁC
• Retention Manager (chủ ngân sách giữ chân)
• Country Manager (France · Germany · Spain)
• Product Manager (chính sách bán chéo)
• Analytics Team (bảo trì dashboard)</t>
        </is>
      </c>
      <c r="B11" s="48"/>
      <c r="C11" s="47" t="inlineStr">
        <is>
          <t xml:space="preserve">DASHBOARD TRẢ LỜI 4 CÂU
• Mất bao nhiêu khách, và kéo theo bao nhiêu tiền gửi?
• Ai đang rời đi — chân dung nhân khẩu học nào?
• Rời đi vì cái gì — sản phẩm, số dư, mức độ hoạt động?
• Ai sắp rời đi — dồn ngân sách giữ chân vào đâu?</t>
        </is>
      </c>
      <c r="D11" s="48"/>
      <c r="E11" s="66" t="inlineStr">
        <is>
          <t xml:space="preserve">KHI NÀO
• Họp Retention Review hàng tháng
• Chu kỳ lập ngân sách giữ chân
• Rà soát danh mục sản phẩm và chính sách bán chéo
• Giải trình biến động số dư huy động với BOD
Ở ĐÂU
• Laptop trong phòng họp
• Di động khi đi chi nhánh / công tác
&gt;&gt;&gt; Kết luận phải đọc được trong 5-10 giây đầu</t>
        </is>
      </c>
      <c r="F11" s="66"/>
      <c r="G11" s="66" t="inlineStr">
        <is>
          <t xml:space="preserve">VÌ SAO CẦN PHÂN TÍCH
• Chi phí giành khách mới cao hơn nhiều lần chi phí giữ khách cũ
• Số dư huy động là nền của toàn bộ năng lực cho vay
KHÓ KHĂN HIỆN TẠI
• Báo cáo churn chỉ đếm số người, không quy ra tiền → không lập được ngân sách
• Biết khách rời sau khi họ đã đi, không có cảnh báo sớm
• Bán chéo được đẩy mạnh mà chưa ai đo tác động lên churn
&gt;&gt;&gt; MỤC TIÊU: từ "bao nhiêu người rời" sang "bao nhiêu tiền đang chảy máu và chặn ở đâu" </t>
        </is>
      </c>
      <c r="H11" s="66"/>
      <c r="I11" s="66" t="inlineStr">
        <is>
          <t xml:space="preserve">LOGIC RA QUYẾT ĐỊNH
Tổng quan → Ai rời → Vì sao rời → Ai sắp rời → Quyết định ngân sách
ƯU TIÊN CỦA STAKEHOLDER
• Số dư mất đi, không phải số người rời
• Nhóm can thiệp được, vì ngân sách giữ chân có hạn
&gt;&gt;&gt; DASHBOARD THEO TẦNG
Overview → Profile → Product &amp; Balance → Risk → Recommendations</t>
        </is>
      </c>
      <c r="J11" s="48"/>
      <c r="K11" s="48"/>
      <c r="L11" s="92" t="inlineStr">
        <is>
          <t xml:space="preserve">NGHĨ
• Chúng ta đang mất bao nhiêu TIỀN, không phải bao nhiêu người?
• Nhóm nào đáng bỏ ngân sách giữ chân nhất?
• Đẩy bán chéo có đang phản tác dụng không?
CẢM
• Áp lực vì số dư huy động giảm ảnh hưởng trực tiếp năng lực cho vay
• Bất an vì churn chỉ được báo sau khi khách đã đi
• Nghi ngờ chiến lược bán chéo nhưng chưa có bằng chứng</t>
        </is>
      </c>
      <c r="M11" s="93"/>
      <c r="N11" s="95" t="inlineStr">
        <is>
          <t xml:space="preserve">ĐANG THẤY
• Báo cáo churn hàng tháng chỉ có một con số phần trăm
• Danh sách khách đã đóng tài khoản — biết khi đã muộn
• Số liệu sản phẩm và số liệu churn nằm ở hai báo cáo khác nhau
KHÔNG THẤY
• Một nơi cho biết cùng lúc: mất bao nhiêu tiền — ai sắp mất — chặn ở đâu</t>
        </is>
      </c>
      <c r="O11" s="48"/>
      <c r="P11" s="67" t="inlineStr">
        <is>
          <t xml:space="preserve">NÓI
• "Churn 20% là cao hay thấp?"
• "Chúng ta mất bao nhiêu tiền gửi?"
• "Nhóm nào nên gọi điện giữ chân trước?"
• "Khách càng lâu năm có càng trung thành không?"
LÀM
• Phân bổ ngân sách giữ chân theo nhóm rủi ro
• Điều chỉnh chính sách bán chéo
• Giao chỉ tiêu retention cho từng Country Manager
• Thiết kế ưu đãi riêng cho nhóm số dư cao</t>
        </is>
      </c>
      <c r="Q11" s="69"/>
      <c r="R11" s="48"/>
      <c r="S11" s="66" t="inlineStr">
        <is>
          <t xml:space="preserve">QUAN HỆ — 9 quan hệ, M:1, lọc một chiều
• Customer → Geography · Gender · ActivityStatus
• Customer → AgeBand · TenureBand · BalanceBand
• Customer → ProductBand · CreditBand · RiskSegment
Bảng KHÔNG nối: Dim_BalanceFlow · Dim_Action · Recovery Rate · 4 field parameter
&gt;&gt;&gt; Star schema. Fact ở giữa là bảng khách hàng, grain = 1 khách hàng
NGUỒN: Bank_Churn.csv (10.000 dòng, đã sạch)
⚠ KHÔNG dùng Bank_Churn_Messy.xlsx: cột HasCrCard trong file đó là bản sao
   của IsActiveMember (trùng 10.002/10.002 dòng). Dùng nhầm sẽ kết luận sai rằng
   "thẻ tín dụng giảm churn từ 26,9% xuống 14,3%", trong khi sự thật là
   thẻ tín dụng không ảnh hưởng gì (20,8% vs 20,2%).</t>
        </is>
      </c>
      <c r="T11" s="48"/>
      <c r="U11" s="48"/>
      <c r="W11" s="105"/>
      <c r="X11" s="105"/>
      <c r="Y11" s="105"/>
    </row>
    <row r="12" spans="1:25" s="38" customFormat="1" ht="104.25" customHeight="1" x14ac:dyDescent="0.25">
      <c r="A12" s="48"/>
      <c r="B12" s="48"/>
      <c r="C12" s="48"/>
      <c r="D12" s="48"/>
      <c r="E12" s="66"/>
      <c r="F12" s="66"/>
      <c r="G12" s="66"/>
      <c r="H12" s="66"/>
      <c r="I12" s="48"/>
      <c r="J12" s="48"/>
      <c r="K12" s="48"/>
      <c r="L12" s="93"/>
      <c r="M12" s="93"/>
      <c r="N12" s="48"/>
      <c r="O12" s="48"/>
      <c r="P12" s="69"/>
      <c r="Q12" s="69"/>
      <c r="R12" s="48"/>
      <c r="S12" s="66" t="inlineStr">
        <is>
          <t xml:space="preserve">FACT — Fact_Customer (10.000 dòng × 23 cột)
Cột gốc (13): CustomerId · Surname · CreditScore · Geography · Gender · Age
· Tenure · Balance · NumOfProducts · HasCrCard · IsActiveMember · EstimatedSalary · Exited
Cột tạo trong Power Query (10): Age_Band_Key · Tenure_Band_Key · Balance_Band_Key
· Credit_Band_Key · Score_Products · Score_Age · Score_Inactive · Score_Germany
· Risk_Score · Risk_Segment_Key
DIM (10)
Geography 3 · Gender 2 · ActivityStatus 2 · AgeBand 5 · TenureBand 4
BalanceBand 5 · ProductBand 4 · CreditBand 5 · RiskSegment 5 · BalanceFlow 2
FIELD PARAMETER (4)
Progression · Customer Dimension · Behaviour View · Risk View
BẢNG RỜI (2)
Dim_Action (5 hành động khuyến nghị) · Recovery Rate (what-if 0-60%)</t>
        </is>
      </c>
      <c r="T12" s="48"/>
      <c r="U12" s="48"/>
      <c r="W12" s="105"/>
      <c r="X12" s="105"/>
      <c r="Y12" s="105"/>
    </row>
    <row r="13" spans="1:25" ht="29.25" customHeight="1" x14ac:dyDescent="0.25">
      <c r="A13" s="61" t="s">
        <v>18</v>
      </c>
      <c r="B13" s="43"/>
      <c r="C13" s="62" t="s">
        <v>19</v>
      </c>
      <c r="D13" s="43"/>
      <c r="E13" s="66"/>
      <c r="F13" s="66"/>
      <c r="G13" s="66"/>
      <c r="H13" s="66"/>
      <c r="I13" s="43"/>
      <c r="J13" s="43"/>
      <c r="K13" s="43"/>
      <c r="L13" s="71" t="s">
        <v>20</v>
      </c>
      <c r="M13" s="43"/>
      <c r="N13" s="51" t="s">
        <v>21</v>
      </c>
      <c r="O13" s="43"/>
      <c r="P13" s="71" t="s">
        <v>22</v>
      </c>
      <c r="Q13" s="43"/>
      <c r="R13" s="43"/>
      <c r="S13" s="66" t="inlineStr">
        <is>
          <t xml:space="preserve">NHÓM MÔ TẢ
• Nhân khẩu học: Age · Gender · Geography
• Quan hệ ngân hàng: Tenure · IsActiveMember · HasCrCard
• Danh mục nắm giữ: NumOfProducts · Balance
• Hồ sơ tài chính: CreditScore · EstimatedSalary
• Trạng thái: Exited (0 = ở lại · 1 = đã rời)
⚠ KHÔNG có cột ngày nào — đây là ảnh chụp danh mục tại một thời điểm.
   Dùng Tenure và Age làm trục tiến trình thay cho trục thời gian.</t>
        </is>
      </c>
      <c r="T13" s="43"/>
      <c r="U13" s="43"/>
      <c r="W13" s="105"/>
      <c r="X13" s="105"/>
      <c r="Y13" s="105"/>
    </row>
    <row r="14" spans="1:25" s="39" customFormat="1" ht="29.25" customHeight="1" x14ac:dyDescent="0.25">
      <c r="A14" s="49" t="inlineStr">
        <is>
          <t xml:space="preserve">Head of Retail Banking
(chịu trách nhiệm về số dư huy động và tỷ lệ giữ chân)</t>
        </is>
      </c>
      <c r="B14" s="52"/>
      <c r="C14" s="49" t="inlineStr">
        <is>
          <t xml:space="preserve">Giúp Head of Retail Banking xác định nhóm khách hàng nào đang làm thất thoát nhiều số dư nhất và còn can thiệp được, để phân bổ ngân sách giữ chân theo giá trị tiền thay vì theo số lượng người.</t>
        </is>
      </c>
      <c r="D14" s="52"/>
      <c r="E14" s="66"/>
      <c r="F14" s="66"/>
      <c r="G14" s="66"/>
      <c r="H14" s="66"/>
      <c r="I14" s="52"/>
      <c r="J14" s="52"/>
      <c r="K14" s="52"/>
      <c r="L14" s="67" t="inlineStr">
        <is>
          <t xml:space="preserve">• Báo cáo churn chỉ đếm người, không quy ra tiền → không lập được ngân sách
• Biết khách rời sau khi đã đi, không có cảnh báo sớm
• Không chứng minh được bán chéo giúp hay hại
• Ngân sách giữ chân rải đều, không trúng nhóm</t>
        </is>
      </c>
      <c r="M14" s="68"/>
      <c r="N14" s="52"/>
      <c r="O14" s="52"/>
      <c r="P14" s="67" t="inlineStr">
        <is>
          <t xml:space="preserve">• Biết chính xác số dư đang chảy máu để đặt mục tiêu bằng tiền
• Nhận diện sớm nhóm rủi ro cao để can thiệp trước khi khách đi
• Có bằng chứng định lượng để chỉnh chính sách sản phẩm
• Dồn ngân sách vào 14,1% khách hàng đang gây 46,2% thất thoát</t>
        </is>
      </c>
      <c r="Q14" s="68"/>
      <c r="R14" s="52"/>
      <c r="S14" s="52"/>
      <c r="T14" s="52"/>
      <c r="U14" s="52"/>
      <c r="W14" s="105"/>
      <c r="X14" s="105"/>
      <c r="Y14" s="105"/>
    </row>
    <row r="15" spans="1:25" s="39" customFormat="1" ht="163.80000000000001" customHeight="1" x14ac:dyDescent="0.25">
      <c r="A15" s="52"/>
      <c r="B15" s="52"/>
      <c r="C15" s="52"/>
      <c r="D15" s="52"/>
      <c r="E15" s="66"/>
      <c r="F15" s="66"/>
      <c r="G15" s="66"/>
      <c r="H15" s="66"/>
      <c r="I15" s="52"/>
      <c r="J15" s="52"/>
      <c r="K15" s="52"/>
      <c r="L15" s="68"/>
      <c r="M15" s="68"/>
      <c r="N15" s="52"/>
      <c r="O15" s="52"/>
      <c r="P15" s="68"/>
      <c r="Q15" s="68"/>
      <c r="R15" s="52"/>
      <c r="S15" s="52"/>
      <c r="T15" s="52"/>
      <c r="U15" s="52"/>
      <c r="W15" s="105"/>
      <c r="X15" s="105"/>
      <c r="Y15" s="105"/>
    </row>
    <row r="16" spans="1:25" s="39" customFormat="1" ht="29.25" customHeight="1" x14ac:dyDescent="0.25">
      <c r="A16" s="52"/>
      <c r="B16" s="52"/>
      <c r="C16" s="52"/>
      <c r="D16" s="52"/>
      <c r="E16" s="66"/>
      <c r="F16" s="66"/>
      <c r="G16" s="66"/>
      <c r="H16" s="66"/>
      <c r="I16" s="52"/>
      <c r="J16" s="52"/>
      <c r="K16" s="52"/>
      <c r="L16" s="76" t="s">
        <v>23</v>
      </c>
      <c r="M16" s="52"/>
      <c r="N16" s="52"/>
      <c r="O16" s="52"/>
      <c r="P16" s="52"/>
      <c r="Q16" s="52"/>
      <c r="R16" s="52"/>
      <c r="S16" s="66" t="inlineStr">
        <is>
          <t xml:space="preserve">NHÓM ĐO LƯỜNG — 65 measure, chia 10 nhóm theo bản chất phép tính
• 01 Nền: Total Customers · Churned · Retained · Total Balance
• 02 Northstar 1: Churn Rate % · Retention Rate % · Portfolio Churn Rate %
• 03 Northstar 2: Balance at Risk · Balance at Risk % · Share %
• 04 Rời vs Ở lại: Avg Balance / Avg Age churned - retained - gap
• 05 Guardrail: Active % · Inactive % · Avg Products · Single Product %
• 06 Rủi ro: Priority Customers · Addressable Loss · Customers to Save
     · Balance to Protect · Projected Loss · Recoverable Loss
• 07 Cấu phần điểm: Score from Products / Age / Inactive / Germany
• 08 Nhãn động: Worst Age Band · Geography · Product Group · Risk Segment (+ Value)
• 09 Insight text: Insight 1 Scale · 2 Product · 3 Action (viết tiếng Anh)
• 10 Bảng khuyến nghị: Customers Reached · Balance Held · Balance at Stake · Action Wave
&gt;&gt;&gt; QUAN TRỌNG NHẤT: Churn Rate % (chất lượng) + Balance at Risk (quy mô thiệt hại)
&gt;&gt;&gt; GUARDRAIL: Inactive % (48,5%) · Single Product % (50,8%) — hai chỉ báo sớm</t>
        </is>
      </c>
      <c r="T16" s="52"/>
      <c r="U16" s="52"/>
    </row>
    <row r="17" spans="1:26" s="39" customFormat="1" ht="29.25" customHeight="1" x14ac:dyDescent="0.25">
      <c r="A17" s="52"/>
      <c r="B17" s="52"/>
      <c r="C17" s="52"/>
      <c r="D17" s="52"/>
      <c r="E17" s="66"/>
      <c r="F17" s="66"/>
      <c r="G17" s="66"/>
      <c r="H17" s="66"/>
      <c r="I17" s="52"/>
      <c r="J17" s="52"/>
      <c r="K17" s="52"/>
      <c r="L17" s="104" t="s">
        <v>24</v>
      </c>
      <c r="M17" s="52"/>
      <c r="N17" s="52"/>
      <c r="O17" s="52"/>
      <c r="P17" s="52"/>
      <c r="Q17" s="52"/>
      <c r="R17" s="52"/>
      <c r="S17" s="52"/>
      <c r="T17" s="52"/>
      <c r="U17" s="52"/>
    </row>
    <row r="18" spans="1:26" s="39" customFormat="1" ht="29.25" customHeight="1" x14ac:dyDescent="0.25">
      <c r="A18" s="52"/>
      <c r="B18" s="52"/>
      <c r="C18" s="52"/>
      <c r="D18" s="52"/>
      <c r="E18" s="66"/>
      <c r="F18" s="66"/>
      <c r="G18" s="66"/>
      <c r="H18" s="66"/>
      <c r="I18" s="52"/>
      <c r="J18" s="52"/>
      <c r="K18" s="52"/>
      <c r="L18" s="99" t="inlineStr">
        <is>
          <t xml:space="preserve">Q1 — Mất bao nhiêu khách và kéo theo bao nhiêu số dư?
Q2 — Ai đang rời đi: tuổi, giới tính, quốc gia, thâm niên?
Q3 — Rời đi vì cái gì: sản phẩm, số dư, mức độ hoạt động?
Q4 — Ai sắp rời đi và nên ưu tiên giữ chân nhóm nào?</t>
        </is>
      </c>
      <c r="M18" s="68"/>
      <c r="N18" s="68"/>
      <c r="O18" s="68"/>
      <c r="P18" s="68"/>
      <c r="Q18" s="68"/>
      <c r="R18" s="52"/>
      <c r="S18" s="52"/>
      <c r="T18" s="52"/>
      <c r="U18" s="52"/>
    </row>
    <row r="19" spans="1:26" ht="15.75" customHeight="1" x14ac:dyDescent="0.25">
      <c r="K19" s="43"/>
      <c r="L19" s="100"/>
      <c r="M19" s="100"/>
      <c r="N19" s="100"/>
      <c r="O19" s="100"/>
      <c r="P19" s="100"/>
      <c r="Q19" s="100"/>
      <c r="R19" s="43"/>
      <c r="S19" s="43"/>
      <c r="T19" s="43"/>
      <c r="U19" s="43"/>
    </row>
    <row r="20" spans="1:26" ht="104.4" customHeight="1" x14ac:dyDescent="0.25">
      <c r="K20" s="43"/>
      <c r="L20" s="100"/>
      <c r="M20" s="100"/>
      <c r="N20" s="100"/>
      <c r="O20" s="100"/>
      <c r="P20" s="100"/>
      <c r="Q20" s="100"/>
      <c r="R20" s="43"/>
      <c r="S20" s="43"/>
      <c r="T20" s="43"/>
      <c r="U20" s="43"/>
    </row>
    <row r="21" spans="1:26" ht="13.2" customHeight="1" x14ac:dyDescent="0.25">
      <c r="A21" s="2" t="s">
        <v>25</v>
      </c>
    </row>
    <row r="23" spans="1:26" ht="27.75" customHeight="1" x14ac:dyDescent="0.25">
      <c r="A23" s="55" t="s">
        <v>26</v>
      </c>
      <c r="B23" s="56"/>
      <c r="C23" s="56"/>
      <c r="D23" s="56"/>
      <c r="E23" s="56"/>
      <c r="F23" s="56"/>
      <c r="G23" s="56"/>
      <c r="H23" s="56"/>
      <c r="I23" s="56"/>
      <c r="J23" s="56"/>
      <c r="K23" s="56"/>
      <c r="L23" s="56"/>
      <c r="M23" s="56"/>
      <c r="N23" s="56"/>
      <c r="O23" s="56"/>
      <c r="P23" s="56"/>
      <c r="Q23" s="57"/>
    </row>
    <row r="24" spans="1:26" ht="39" customHeight="1" x14ac:dyDescent="0.3">
      <c r="A24" s="81" t="s">
        <v>27</v>
      </c>
      <c r="B24" s="43"/>
      <c r="C24" s="43"/>
      <c r="D24" s="43"/>
      <c r="E24" s="94" t="s">
        <v>28</v>
      </c>
      <c r="F24" s="81" t="s">
        <v>29</v>
      </c>
      <c r="G24" s="43"/>
      <c r="H24" s="43"/>
      <c r="I24" s="43"/>
      <c r="J24" s="43"/>
      <c r="K24" s="75" t="s">
        <v>30</v>
      </c>
      <c r="L24" s="81" t="s">
        <v>31</v>
      </c>
      <c r="M24" s="43"/>
      <c r="N24" s="43"/>
      <c r="O24" s="43"/>
      <c r="P24" s="5"/>
      <c r="Q24" s="5"/>
      <c r="R24" s="6"/>
      <c r="S24" s="6"/>
      <c r="T24" s="6"/>
      <c r="U24" s="6"/>
      <c r="V24" s="6"/>
      <c r="W24" s="6"/>
      <c r="X24" s="6"/>
      <c r="Y24" s="6"/>
      <c r="Z24" s="6"/>
    </row>
    <row r="25" spans="1:26" ht="18.75" customHeight="1" x14ac:dyDescent="0.25">
      <c r="A25" s="78" t="s">
        <v>32</v>
      </c>
      <c r="B25" s="43"/>
      <c r="C25" s="78" t="s">
        <v>33</v>
      </c>
      <c r="D25" s="43"/>
      <c r="E25" s="43"/>
      <c r="F25" s="97" t="s">
        <v>34</v>
      </c>
      <c r="G25" s="8" t="s">
        <v>35</v>
      </c>
      <c r="H25" s="8" t="s">
        <v>36</v>
      </c>
      <c r="I25" s="8" t="s">
        <v>37</v>
      </c>
      <c r="J25" s="8" t="s">
        <v>38</v>
      </c>
      <c r="K25" s="43"/>
      <c r="L25" s="83" t="s">
        <v>39</v>
      </c>
      <c r="M25" s="43"/>
      <c r="N25" s="43"/>
      <c r="O25" s="67" t="inlineStr">
        <is>
          <t xml:space="preserve">Churn Rate % = DIVIDE ( [Churned Customers], [Total Customers] )
[Total Customers]   = COUNTROWS ( Fact_Customer )
[Churned Customers] = CALCULATE ( [Total Customers], Fact_Customer[Exited] = 1 )
Baseline: 20,37% — 2.037 / 10.000 khách</t>
        </is>
      </c>
      <c r="P25" s="43"/>
      <c r="Q25" s="43"/>
    </row>
    <row r="26" spans="1:26" ht="33.75" customHeight="1" x14ac:dyDescent="0.25">
      <c r="A26" s="72" t="s">
        <v>40</v>
      </c>
      <c r="B26" s="43"/>
      <c r="C26" s="72" t="s">
        <v>40</v>
      </c>
      <c r="D26" s="43"/>
      <c r="E26" s="43"/>
      <c r="F26" s="43"/>
      <c r="G26" s="40" t="inlineStr">
        <is>
          <t xml:space="preserve">Chân dung nhân khẩu học — tuổi, giới tính, quốc gia</t>
        </is>
      </c>
      <c r="H26" s="40" t="inlineStr">
        <is>
          <t xml:space="preserve">Danh mục sản phẩm &amp; số dư</t>
        </is>
      </c>
      <c r="I26" s="40" t="inlineStr">
        <is>
          <t xml:space="preserve">Giá trị khách hàng — churn tính bằng tiền</t>
        </is>
      </c>
      <c r="J26" s="40" t="inlineStr">
        <is>
          <t xml:space="preserve">Phân khúc rủi ro — ai sắp rời</t>
        </is>
      </c>
      <c r="K26" s="43"/>
      <c r="L26" s="43"/>
      <c r="M26" s="43"/>
      <c r="N26" s="43"/>
      <c r="O26" s="43"/>
      <c r="P26" s="43"/>
      <c r="Q26" s="43"/>
    </row>
    <row r="27" spans="1:26" ht="33.6" customHeight="1" x14ac:dyDescent="0.25">
      <c r="A27" s="47" t="inlineStr">
        <is>
          <t xml:space="preserve">ĐO CHẤT LƯỢNG GIỮ CHÂN
Tỷ lệ khách hàng rời bỏ ngân hàng
&gt;&gt;&gt; Chuẩn hoá theo quy mô nên so được Germany (2.509 KH) với France (5.014 KH)
&gt;&gt;&gt; Là chỉ số chuẩn của ngành ngân hàng bán lẻ</t>
        </is>
      </c>
      <c r="B27" s="43"/>
      <c r="C27" s="47" t="inlineStr">
        <is>
          <t xml:space="preserve">ĐO ĐỘ LỚN THIỆT HẠI BẰNG TIỀN
&gt;&gt;&gt; Mất 100 khách số dư 0 € khác hẳn mất 100 khách số dư 150k €
&gt;&gt;&gt; Ngân sách giữ chân chỉ được duyệt khi quy ra tiền</t>
        </is>
      </c>
      <c r="D27" s="43"/>
      <c r="E27" s="43"/>
      <c r="F27" s="43"/>
      <c r="G27" s="8" t="s">
        <v>41</v>
      </c>
      <c r="H27" s="8" t="s">
        <v>42</v>
      </c>
      <c r="I27" s="8" t="s">
        <v>43</v>
      </c>
      <c r="J27" s="41" t="s">
        <v>44</v>
      </c>
      <c r="K27" s="43"/>
      <c r="L27" s="73" t="inlineStr">
        <is>
          <t xml:space="preserve">① CHÂN DUNG
Churn Rate % theo Age &gt; Gender &gt; Geography &gt; Tenure</t>
        </is>
      </c>
      <c r="M27" s="43"/>
      <c r="N27" s="43"/>
      <c r="O27" s="58" t="inlineStr">
        <is>
          <t xml:space="preserve">= DIVIDE([Churned Customers],[Total Customers]) trên từng Dim nhân khẩu học
[Churn Gap vs Portfolio] = [Churn Rate %] − CALCULATE([Churn Rate %], ALL(Dim đang xét))
Thay cho YoY vì dataset không có cột ngày</t>
        </is>
      </c>
      <c r="P27" s="43"/>
      <c r="Q27" s="43"/>
    </row>
    <row r="28" spans="1:26" ht="37.200000000000003" customHeight="1" x14ac:dyDescent="0.25">
      <c r="A28" s="43"/>
      <c r="B28" s="43"/>
      <c r="C28" s="43"/>
      <c r="D28" s="43"/>
      <c r="E28" s="43"/>
      <c r="G28" s="40" t="inlineStr">
        <is>
          <t xml:space="preserve">Hồ sơ tín dụng — CreditScore, EstimatedSalary</t>
        </is>
      </c>
      <c r="H28" s="40" t="inlineStr">
        <is>
          <t xml:space="preserve">Ma trận Quốc gia × Số sản phẩm</t>
        </is>
      </c>
      <c r="I28" s="40" t="inlineStr">
        <is>
          <t xml:space="preserve">Thâm niên &amp; mức độ hoạt động</t>
        </is>
      </c>
      <c r="J28" s="40" t="inlineStr">
        <is>
          <t xml:space="preserve">Số dư = 0 và khác biệt theo quốc gia</t>
        </is>
      </c>
      <c r="K28" s="43"/>
      <c r="L28" s="73" t="inlineStr">
        <is>
          <t xml:space="preserve">② SẢN PHẨM &amp; SỐ DƯ
Churn Rate % theo ProductBand, BalanceBand, ActivityStatus</t>
        </is>
      </c>
      <c r="M28" s="43"/>
      <c r="N28" s="43"/>
      <c r="O28" s="58" t="inlineStr">
        <is>
          <t xml:space="preserve">= DIVIDE(...) trong context từng nhóm; luôn ghép với [Total Customers]
để thấy quy mô — nhóm 4 sản phẩm churn 100% nhưng chỉ có 60 khách</t>
        </is>
      </c>
      <c r="P28" s="43"/>
      <c r="Q28" s="43"/>
    </row>
    <row r="29" spans="1:26" ht="41.4" customHeight="1" x14ac:dyDescent="0.25">
      <c r="A29" s="43"/>
      <c r="B29" s="43"/>
      <c r="C29" s="43"/>
      <c r="D29" s="43"/>
      <c r="E29" s="43"/>
      <c r="F29" s="7" t="s">
        <v>45</v>
      </c>
      <c r="G29" s="59" t="s">
        <v>46</v>
      </c>
      <c r="H29" s="43"/>
      <c r="I29" s="60" t="s">
        <v>47</v>
      </c>
      <c r="J29" s="43"/>
      <c r="K29" s="43"/>
      <c r="L29" s="73" t="inlineStr">
        <is>
          <t xml:space="preserve">③ GIÁ TRỊ
Churn Rate % đối chiếu Balance at Risk trên cùng chiều</t>
        </is>
      </c>
      <c r="M29" s="43"/>
      <c r="N29" s="43"/>
      <c r="O29" s="58" t="inlineStr">
        <is>
          <t xml:space="preserve">Ghép cặp [Churn Rate %] × [Balance at Risk] → 4 góc phần tư (tỷ lệ × giá trị)
[Avg Balance Gap] = [Avg Balance Churned] − [Avg Balance Retained] = +18.363 €</t>
        </is>
      </c>
      <c r="P29" s="43"/>
      <c r="Q29" s="43"/>
    </row>
    <row r="30" spans="1:26" ht="45" customHeight="1" x14ac:dyDescent="0.25">
      <c r="A30" s="72" t="s">
        <v>48</v>
      </c>
      <c r="B30" s="43"/>
      <c r="C30" s="72" t="s">
        <v>48</v>
      </c>
      <c r="D30" s="43"/>
      <c r="E30" s="43"/>
      <c r="F30" s="74" t="inlineStr">
        <is>
          <t xml:space="preserve">① CHÂN DUNG KHÁCH HÀNG</t>
        </is>
      </c>
      <c r="G30" s="49" t="inlineStr">
        <is>
          <t xml:space="preserve">Churn Rate &amp; Balance at Risk theo Tuổi &gt; Giới tính &gt; Quốc gia &gt; Thâm niên
⚠ Dataset là ảnh chụp, không có cột ngày → dùng Tenure và Age làm trục tiến trình
→ Trả lời Q2</t>
        </is>
      </c>
      <c r="H30" s="43"/>
      <c r="I30" s="49" t="inlineStr">
        <is>
          <t xml:space="preserve">• Nhóm 51-60 churn 56,2% — gấp 7,5 lần nhóm 18-30 (7,5%)
• Germany 32,4%, gấp đôi France 16,2% và Spain 16,7%
• Nữ 25,1% vs Nam 16,5%
&gt;&gt;&gt; Tenure phẳng 17,2-23,0% qua 11 mốc — thâm niên KHÔNG bảo vệ được gì.
     Phát hiện phản trực giác, và dám trình bày chiều "không có tín hiệu" là điểm cộng</t>
        </is>
      </c>
      <c r="J30" s="43"/>
      <c r="K30" s="43"/>
      <c r="L30" s="73" t="inlineStr">
        <is>
          <t xml:space="preserve">④ RỦI RO
Churn Rate % theo RiskSegment</t>
        </is>
      </c>
      <c r="M30" s="43"/>
      <c r="N30" s="43"/>
      <c r="O30" s="58" t="inlineStr">
        <is>
          <t xml:space="preserve">= DIVIDE(...) theo Dim_RiskSegment
Guardrail: [Inactive %] = 48,5% và [Single Product %] = 50,8% — hai chỉ báo sớm</t>
        </is>
      </c>
      <c r="P30" s="43"/>
      <c r="Q30" s="43"/>
    </row>
    <row r="31" spans="1:26" ht="93" customHeight="1" x14ac:dyDescent="0.25">
      <c r="A31" s="47" t="inlineStr">
        <is>
          <t xml:space="preserve">Khi Churn Rate giảm dưới mức hiện tại 20,37%
VÀ phần giảm đến từ nhóm rủi ro cao (Critical 83,4% · High 53,7%),
không phải giảm nhờ nhóm vốn đã an toàn (Low 6,5%).</t>
        </is>
      </c>
      <c r="B31" s="43"/>
      <c r="C31" s="47" t="inlineStr">
        <is>
          <t xml:space="preserve">Khi Balance at Risk giảm dưới 185,6 triệu € (24,3% tổng số dư)
VÀ số dư trung bình của khách rời tiệm cận khách ở lại —
hiện đang 91.109 € so với 72.745 €.</t>
        </is>
      </c>
      <c r="D31" s="43"/>
      <c r="E31" s="43"/>
      <c r="F31" s="43"/>
      <c r="G31" s="43"/>
      <c r="H31" s="43"/>
      <c r="I31" s="43"/>
      <c r="J31" s="43"/>
      <c r="K31" s="43"/>
      <c r="L31" s="9"/>
      <c r="N31" s="9"/>
      <c r="O31" s="9"/>
      <c r="P31" s="9"/>
    </row>
    <row r="32" spans="1:26" ht="31.8" customHeight="1" x14ac:dyDescent="0.25">
      <c r="A32" s="43"/>
      <c r="B32" s="43"/>
      <c r="C32" s="43"/>
      <c r="D32" s="43"/>
      <c r="E32" s="43"/>
      <c r="F32" s="74" t="inlineStr">
        <is>
          <t xml:space="preserve">② SẢN PHẨM &amp; SỐ DƯ</t>
        </is>
      </c>
      <c r="G32" s="49" t="inlineStr">
        <is>
          <t xml:space="preserve">Churn theo số sản phẩm nắm giữ, dải số dư, mức độ hoạt động
Ma trận Quốc gia × Số sản phẩm để tìm ô chảy máu nặng nhất
→ Trả lời Q3</t>
        </is>
      </c>
      <c r="H32" s="43"/>
      <c r="I32" s="49" t="inlineStr">
        <is>
          <t xml:space="preserve">• 2 sản phẩm churn 7,6% — thấp nhất toàn danh mục
• Nhưng 3 sản phẩm: 82,7% · 4 sản phẩm: 100%
• Ô nặng nhất: Germany × 1 sản phẩm = 42,8%
&gt;&gt;&gt; Bán chéo vượt quá 2 sản phẩm đang phản tác dụng —
     phát hiện đắt nhất cho quyết định chính sách sản phẩm</t>
        </is>
      </c>
      <c r="J32" s="43"/>
      <c r="K32" s="43"/>
      <c r="L32" s="83" t="s">
        <v>49</v>
      </c>
      <c r="M32" s="43"/>
      <c r="N32" s="43"/>
      <c r="O32" s="98" t="inlineStr">
        <is>
          <t xml:space="preserve">Balance at Risk = CALCULATE ( SUM ( Fact_Customer[Balance] ), Fact_Customer[Exited] = 1 )
Bổ trợ: [Balance at Risk %] = DIVIDE ( [Balance at Risk], [Total Balance] )
Baseline: 185.588.095 € — chiếm 24,3% tổng số dư 764.858.893 €</t>
        </is>
      </c>
      <c r="P32" s="43"/>
      <c r="Q32" s="43"/>
    </row>
    <row r="33" spans="1:19" ht="18.75" customHeight="1" x14ac:dyDescent="0.25">
      <c r="A33" s="72" t="s">
        <v>50</v>
      </c>
      <c r="B33" s="43"/>
      <c r="C33" s="61" t="s">
        <v>50</v>
      </c>
      <c r="D33" s="43"/>
      <c r="E33" s="43"/>
      <c r="F33" s="43"/>
      <c r="G33" s="43"/>
      <c r="H33" s="43"/>
      <c r="I33" s="43"/>
      <c r="J33" s="43"/>
      <c r="K33" s="43"/>
      <c r="L33" s="43"/>
      <c r="M33" s="43"/>
      <c r="N33" s="43"/>
      <c r="O33" s="43"/>
      <c r="P33" s="43"/>
      <c r="Q33" s="43"/>
    </row>
    <row r="34" spans="1:19" ht="37.200000000000003" customHeight="1" x14ac:dyDescent="0.25">
      <c r="A34" s="84" t="inlineStr">
        <is>
          <t xml:space="preserve">Churn Rate %
= Số khách đã rời ÷ Tổng số khách</t>
        </is>
      </c>
      <c r="B34" s="43"/>
      <c r="C34" s="84" t="inlineStr">
        <is>
          <t xml:space="preserve">Balance at Risk
= Tổng số dư của nhóm khách đã rời</t>
        </is>
      </c>
      <c r="D34" s="43"/>
      <c r="E34" s="43"/>
      <c r="F34" s="74" t="inlineStr">
        <is>
          <t xml:space="preserve">③ GIÁ TRỊ KHÁCH HÀNG</t>
        </is>
      </c>
      <c r="G34" s="49" t="inlineStr">
        <is>
          <t xml:space="preserve">Đối chiếu Churn Rate % với Balance at Risk trên cùng một chiều
Strategy Map: Churn Rate % × Balance at Risk, chia 4 góc phần tư
→ Nối Q1 với Q4</t>
        </is>
      </c>
      <c r="H34" s="43"/>
      <c r="I34" s="49" t="inlineStr">
        <is>
          <t xml:space="preserve">• Khách rời có số dư trung bình 91.109 € vs khách ở lại 72.745 €
&gt;&gt;&gt; Ngân hàng đang mất đúng nhóm giàu hơn.
     Churn không phải bài toán đếm người mà là bài toán giữ tài sản huy động</t>
        </is>
      </c>
      <c r="J34" s="43"/>
      <c r="K34" s="43"/>
      <c r="L34" s="73" t="inlineStr">
        <is>
          <t xml:space="preserve">① CHÂN DUNG
Balance at Risk theo Geography / AgeBand</t>
        </is>
      </c>
      <c r="M34" s="43"/>
      <c r="N34" s="43"/>
      <c r="O34" s="54" t="inlineStr">
        <is>
          <t xml:space="preserve">= CALCULATE(SUM(Balance), Exited=1) từng nhóm
Germany 98,0tr € · France 57,7tr € · Spain 29,9tr €
Tuổi 41-50 mất nhiều nhất 71,2tr € — dù churn 34,0% thấp hơn nhóm 51-60</t>
        </is>
      </c>
      <c r="P34" s="43"/>
      <c r="Q34" s="43"/>
    </row>
    <row r="35" spans="1:19" ht="45.6" customHeight="1" x14ac:dyDescent="0.25">
      <c r="A35" s="43"/>
      <c r="B35" s="43"/>
      <c r="C35" s="43"/>
      <c r="D35" s="43"/>
      <c r="E35" s="43"/>
      <c r="F35" s="43"/>
      <c r="G35" s="43"/>
      <c r="H35" s="43"/>
      <c r="I35" s="43"/>
      <c r="J35" s="43"/>
      <c r="K35" s="43"/>
      <c r="L35" s="73" t="inlineStr">
        <is>
          <t xml:space="preserve">② SẢN PHẨM
Balance at Risk theo ProductBand</t>
        </is>
      </c>
      <c r="M35" s="43"/>
      <c r="N35" s="43"/>
      <c r="O35" s="54" t="inlineStr">
        <is>
          <t xml:space="preserve">1 sp: 129,7tr € · 2 sp: 31,4tr € · 3 sp: 18,9tr € · 4 sp: 5,6tr €
&gt;&gt;&gt; Thứ tự ngược hoàn toàn với Churn Rate % — đây là lý do cần cả hai Northstar</t>
        </is>
      </c>
      <c r="P35" s="43"/>
      <c r="Q35" s="43"/>
    </row>
    <row r="36" spans="1:19" ht="45" customHeight="1" x14ac:dyDescent="0.25">
      <c r="A36" s="72" t="s">
        <v>51</v>
      </c>
      <c r="B36" s="43"/>
      <c r="C36" s="106" t="s">
        <v>51</v>
      </c>
      <c r="D36" s="43"/>
      <c r="E36" s="9"/>
      <c r="F36" s="74" t="inlineStr">
        <is>
          <t xml:space="preserve">④ PHÂN KHÚC RỦI RO</t>
        </is>
      </c>
      <c r="G36" s="49" t="inlineStr">
        <is>
          <t xml:space="preserve">Chấm điểm rủi ro từ 4 yếu tố có tín hiệu mạnh nhất:
số sản phẩm ≥3 (3đ) · tuổi 45-60 (2đ) · không hoạt động (1đ) · Germany (1đ)
→ 5 nhóm Critical / High / Medium / Watch / Low. Trả lời Q4</t>
        </is>
      </c>
      <c r="H36" s="43"/>
      <c r="I36" s="49" t="inlineStr">
        <is>
          <t xml:space="preserve">• Critical 83,4% churn (5,6% KH) · High 53,7% (8,5%) · Low 6,5% (31,4%)
• Critical + High = 14,1% khách hàng nhưng chiếm 46,2% số dư đã mất
&gt;&gt;&gt; Căn cứ duyệt ngân sách: dồn vào 14% khách để chặn gần một nửa dòng chảy máu</t>
        </is>
      </c>
      <c r="J36" s="43"/>
      <c r="K36" s="11"/>
      <c r="L36" s="73" t="inlineStr">
        <is>
          <t xml:space="preserve">③ GIÁ TRỊ
Số dư trung bình khách rời vs khách ở lại</t>
        </is>
      </c>
      <c r="M36" s="43"/>
      <c r="N36" s="43"/>
      <c r="O36" s="54" t="inlineStr">
        <is>
          <t xml:space="preserve">[Avg Balance Churned]  = CALCULATE(AVERAGE(Balance), Exited=1) = 91.109 €
[Avg Balance Retained] = CALCULATE(AVERAGE(Balance), Exited=0) = 72.745 €</t>
        </is>
      </c>
      <c r="P36" s="43"/>
      <c r="Q36" s="43"/>
    </row>
    <row r="37" spans="1:19" ht="45" customHeight="1" x14ac:dyDescent="0.25">
      <c r="A37" s="47" t="inlineStr">
        <is>
          <t xml:space="preserve">Nếu chỉ đếm số khách rời sẽ bỏ qua giá trị của họ.
Churn Rate % chuẩn hoá theo quy mô nên mọi nhóm đều so sánh được với nhau
và với mức 20,37% của toàn danh mục.</t>
        </is>
      </c>
      <c r="B37" s="43"/>
      <c r="C37" s="47" t="inlineStr">
        <is>
          <t xml:space="preserve">Churn Rate % đứng một mình sẽ đánh lừa:
• Nhóm 4 sản phẩm churn 100% nhưng chỉ 60 khách, mất 5,6 triệu €
• Nhóm 1 sản phẩm churn 27,7% nhưng mất 129,7 triệu €
&gt;&gt;&gt; Balance at Risk cho biết chặn ở đâu thu về nhiều tiền nhất</t>
        </is>
      </c>
      <c r="D37" s="43"/>
      <c r="E37" s="12"/>
      <c r="F37" s="43"/>
      <c r="G37" s="43"/>
      <c r="H37" s="43"/>
      <c r="I37" s="43"/>
      <c r="J37" s="43"/>
      <c r="K37" s="11"/>
      <c r="L37" s="73" t="inlineStr">
        <is>
          <t xml:space="preserve">④ RỦI RO
Balance at Risk theo RiskSegment</t>
        </is>
      </c>
      <c r="M37" s="43"/>
      <c r="N37" s="43"/>
      <c r="O37" s="54" t="inlineStr">
        <is>
          <t xml:space="preserve">[Balance at Risk Share %] = DIVIDE([Balance at Risk nhóm],[Tổng Balance at Risk])
Critical + High = 46,2% dù chỉ chiếm 14,1% số khách hàng</t>
        </is>
      </c>
      <c r="P37" s="43"/>
      <c r="Q37" s="43"/>
    </row>
    <row r="38" spans="1:19" ht="37.799999999999997" customHeight="1" x14ac:dyDescent="0.25">
      <c r="A38" s="43"/>
      <c r="B38" s="43"/>
      <c r="C38" s="43"/>
      <c r="D38" s="43"/>
      <c r="E38" s="12"/>
      <c r="G38" s="13"/>
      <c r="H38" s="13"/>
      <c r="I38" s="13"/>
      <c r="J38" s="13"/>
      <c r="K38" s="11"/>
    </row>
    <row r="39" spans="1:19" ht="19.5" customHeight="1" x14ac:dyDescent="0.25">
      <c r="A39" s="70" t="s">
        <v>52</v>
      </c>
      <c r="B39" s="56"/>
      <c r="C39" s="56"/>
      <c r="D39" s="56"/>
      <c r="E39" s="56"/>
      <c r="F39" s="56"/>
      <c r="G39" s="56"/>
      <c r="H39" s="56"/>
      <c r="I39" s="56"/>
      <c r="J39" s="56"/>
      <c r="K39" s="56"/>
      <c r="L39" s="56"/>
      <c r="M39" s="56"/>
      <c r="N39" s="56"/>
      <c r="O39" s="56"/>
      <c r="P39" s="56"/>
      <c r="Q39" s="57"/>
    </row>
    <row r="40" spans="1:19" ht="19.5" customHeight="1" x14ac:dyDescent="0.25">
      <c r="A40" s="14"/>
      <c r="B40" s="12"/>
      <c r="C40" s="12"/>
      <c r="D40" s="12"/>
      <c r="E40" s="12"/>
      <c r="F40" s="13"/>
      <c r="G40" s="13"/>
      <c r="H40" s="13"/>
      <c r="I40" s="13"/>
      <c r="J40" s="13"/>
      <c r="K40" s="11"/>
    </row>
    <row r="41" spans="1:19" ht="27.75" customHeight="1" x14ac:dyDescent="0.25">
      <c r="A41" s="55" t="s">
        <v>53</v>
      </c>
      <c r="B41" s="56"/>
      <c r="C41" s="56"/>
      <c r="D41" s="56"/>
      <c r="E41" s="56"/>
      <c r="F41" s="56"/>
      <c r="G41" s="56"/>
      <c r="H41" s="56"/>
      <c r="I41" s="56"/>
      <c r="J41" s="56"/>
      <c r="K41" s="56"/>
      <c r="L41" s="56"/>
      <c r="M41" s="56"/>
      <c r="N41" s="56"/>
      <c r="O41" s="56"/>
      <c r="P41" s="56"/>
      <c r="Q41" s="57"/>
    </row>
    <row r="42" spans="1:19" ht="40.5" customHeight="1" x14ac:dyDescent="0.25">
      <c r="A42" s="65" t="s">
        <v>54</v>
      </c>
      <c r="B42" s="43"/>
      <c r="C42" s="43"/>
      <c r="D42" s="43"/>
      <c r="E42" s="43"/>
      <c r="F42" s="75" t="s">
        <v>55</v>
      </c>
      <c r="G42" s="65" t="s">
        <v>56</v>
      </c>
      <c r="H42" s="43"/>
      <c r="I42" s="43"/>
      <c r="J42" s="43"/>
      <c r="K42" s="43"/>
      <c r="L42" s="43"/>
      <c r="M42" s="43"/>
      <c r="N42" s="43"/>
      <c r="O42" s="43"/>
      <c r="P42" s="3"/>
      <c r="Q42" s="3"/>
    </row>
    <row r="43" spans="1:19" ht="27" customHeight="1" x14ac:dyDescent="0.25">
      <c r="A43" s="12" t="s">
        <v>57</v>
      </c>
      <c r="B43" s="85" t="s">
        <v>58</v>
      </c>
      <c r="C43" s="43"/>
      <c r="D43" s="43"/>
      <c r="E43" s="43"/>
      <c r="F43" s="43"/>
      <c r="G43" s="15" t="s">
        <v>57</v>
      </c>
      <c r="H43" s="85" t="s">
        <v>59</v>
      </c>
      <c r="I43" s="43"/>
      <c r="J43" s="43"/>
      <c r="K43" s="43"/>
      <c r="L43" s="43"/>
      <c r="M43" s="43"/>
      <c r="N43" s="43"/>
      <c r="O43" s="43"/>
      <c r="P43" s="3"/>
      <c r="Q43" s="3"/>
    </row>
    <row r="44" spans="1:19" ht="36" customHeight="1" x14ac:dyDescent="0.25">
      <c r="A44" s="16" t="s">
        <v>60</v>
      </c>
      <c r="B44" s="17" t="inlineStr">
        <is>
          <t xml:space="preserve">① Tổng quan danh mục</t>
        </is>
      </c>
      <c r="C44" s="17" t="inlineStr">
        <is>
          <t xml:space="preserve">② Chân dung khách hàng</t>
        </is>
      </c>
      <c r="D44" s="17" t="inlineStr">
        <is>
          <t xml:space="preserve">③ Sản phẩm &amp; Số dư</t>
        </is>
      </c>
      <c r="E44" s="17" t="inlineStr">
        <is>
          <t xml:space="preserve">④ Phân khúc rủi ro</t>
        </is>
      </c>
      <c r="F44" s="43"/>
      <c r="G44" s="17" t="s">
        <v>60</v>
      </c>
      <c r="H44" s="86" t="inlineStr">
        <is>
          <t xml:space="preserve">PAGE 1 — PORTFOLIO OVERVIEW</t>
        </is>
      </c>
      <c r="I44" s="43"/>
      <c r="J44" s="86" t="inlineStr">
        <is>
          <t xml:space="preserve">PAGE 2 — CUSTOMER PROFILE</t>
        </is>
      </c>
      <c r="K44" s="43"/>
      <c r="L44" s="86" t="inlineStr">
        <is>
          <t xml:space="preserve">PAGE 3 — PRODUCT &amp; BALANCE</t>
        </is>
      </c>
      <c r="M44" s="43"/>
      <c r="N44" s="86" t="inlineStr">
        <is>
          <t xml:space="preserve">PAGE 4 — RISK SEGMENTATION</t>
        </is>
      </c>
      <c r="O44" s="43"/>
      <c r="P44" s="86" t="inlineStr">
        <is>
          <t xml:space="preserve">PAGE 5 — INSIGHTS &amp; RECOMMENDATIONS</t>
        </is>
      </c>
      <c r="Q44" s="43"/>
      <c r="R44" s="18"/>
      <c r="S44" s="18"/>
    </row>
    <row r="45" spans="1:19" ht="22.5" customHeight="1" x14ac:dyDescent="0.25">
      <c r="A45" s="45" t="s">
        <v>295</v>
      </c>
      <c r="B45" s="67" t="inlineStr">
        <is>
          <t xml:space="preserve">• Churn Rate % • Balance at Risk • Total Customers
• Total Balance • Inactive % • Single Product %
(6 scorecard, chỉ ở dải 1)</t>
        </is>
      </c>
      <c r="C45" s="67" t="inlineStr">
        <is>
          <t xml:space="preserve">Mỏ neo Churn Rate / Balance at Risk
+ Avg Age Churned · Age Gap · Worst Age Band · Worst Geography (ĐỘNG)</t>
        </is>
      </c>
      <c r="D45" s="67" t="inlineStr">
        <is>
          <t xml:space="preserve">Mỏ neo Churn Rate / Balance at Risk
+ Avg Products · Active Customers · Worst Product Group · Biggest Loss Group (ĐỘNG)</t>
        </is>
      </c>
      <c r="E45" s="50" t="inlineStr">
        <is>
          <t xml:space="preserve">Mỏ neo Churn Rate / Balance at Risk
+ High-Risk Customers · Customers to Save · High-Risk Loss to Date · Worst Risk Segment (ĐỘNG)</t>
        </is>
      </c>
      <c r="F45" s="43"/>
      <c r="G45" s="50" t="s">
        <v>61</v>
      </c>
      <c r="H45" s="67" t="inlineStr">
        <is>
          <t xml:space="preserve">SCORECARD (6 ô, chỉ dải 1)
Churn Rate 20,37% · Balance at Risk 185,6tr € · Total Customers 10.000
Total Balance 764,9tr € · Inactive 48,5% · Single Product 50,8%</t>
        </is>
      </c>
      <c r="I45" s="43"/>
      <c r="J45" s="67" t="inlineStr">
        <is>
          <t xml:space="preserve">SCORECARD
Mỏ neo: Churn Rate · Balance at Risk
+ Avg Age Churned (44,8) · Age Gap (+7,4 tuổi)
+ Worst Age Band (51-60 · 56,2%) · Worst Geography (Germany · 32,4%) — ĐỘNG</t>
        </is>
      </c>
      <c r="K45" s="43"/>
      <c r="L45" s="67" t="inlineStr">
        <is>
          <t xml:space="preserve">SCORECARD
Mỏ neo: Churn Rate · Balance at Risk
+ Avg Products (1,53) · Active Customers (51,5%)
+ Worst Product Group (4 prods · 100%) · Biggest Loss Group (1 prod · 129,7tr €) — ĐỘNG</t>
        </is>
      </c>
      <c r="M45" s="43"/>
      <c r="N45" s="67" t="inlineStr">
        <is>
          <t xml:space="preserve">SCORECARD
Mỏ neo: Churn Rate · Balance at Risk
+ High-Risk Customers (1.408 · 14,1%) · Customers to Save (486 · 40,5tr €)
+ High-Risk Loss to Date (85,7tr € · 46,2%) · Worst Risk Segment (Critical · 83,4%) — ĐỘNG</t>
        </is>
      </c>
      <c r="O45" s="43"/>
      <c r="P45" s="67" t="inlineStr">
        <is>
          <t xml:space="preserve">SCORECARD
Churn Rate 20,37% · Balance at Risk 185,6tr € · Balance to Protect 40,5tr €
Customers to Save 486 · Projected Loss 140,6tr € · Recoverable Loss 42,2tr €</t>
        </is>
      </c>
      <c r="Q45" s="43"/>
      <c r="R45" s="20"/>
      <c r="S45" s="20"/>
    </row>
    <row r="46" spans="1:19" ht="22.5" customHeight="1" x14ac:dyDescent="0.25">
      <c r="A46" s="43"/>
      <c r="B46" s="43"/>
      <c r="C46" s="43"/>
      <c r="D46" s="43"/>
      <c r="E46" s="43"/>
      <c r="F46" s="43"/>
      <c r="G46" s="43"/>
      <c r="H46" s="43"/>
      <c r="I46" s="43"/>
      <c r="J46" s="43"/>
      <c r="K46" s="43"/>
      <c r="L46" s="43"/>
      <c r="M46" s="43"/>
      <c r="N46" s="43"/>
      <c r="O46" s="43"/>
      <c r="P46" s="43"/>
      <c r="Q46" s="43"/>
      <c r="R46" s="20"/>
      <c r="S46" s="20"/>
    </row>
    <row r="47" spans="1:19" ht="24.6" customHeight="1" x14ac:dyDescent="0.25">
      <c r="A47" s="43"/>
      <c r="B47" s="43"/>
      <c r="C47" s="43"/>
      <c r="D47" s="43"/>
      <c r="E47" s="43"/>
      <c r="F47" s="43"/>
      <c r="G47" s="50" t="s">
        <v>62</v>
      </c>
      <c r="H47" s="67" t="inlineStr">
        <is>
          <t xml:space="preserve">★ Scatter — Churn Rate % × Balance at Risk, bubble = số KH
   (field parameter Customer Dimension: Geography ↔ AgeBand ↔ ProductBand ↔ Gender)
★ Line — Churn Rate % theo field parameter Progression (Age ↔ AgeBand ↔ Tenure ↔ TenureBand)</t>
        </is>
      </c>
      <c r="I47" s="43"/>
      <c r="J47" s="67" t="inlineStr">
        <is>
          <t xml:space="preserve">★ Combo — Balance at Risk + Churn Rate % theo AgeBand (7,5% → 56,2%)
★ Combo — Balance at Risk + Churn Rate % theo Geography (Germany gấp đôi France 16,2%)
★ Line — Churn Rate % theo Progression, mặc định Tenure (phẳng — phản trực giác)</t>
        </is>
      </c>
      <c r="K47" s="43"/>
      <c r="L47" s="67" t="inlineStr">
        <is>
          <t xml:space="preserve">★ Combo — Balance at Risk + Churn Rate % theo ProductBand
   (cột và đường NGƯỢC CHIỀU: churn 7,6% ↔ 100%, tiền 129,7tr ↔ 5,6tr)
★ Combo — Balance at Risk + Churn Rate % theo BalanceBand (dải 100-150k gánh 65% thất thoát)</t>
        </is>
      </c>
      <c r="M47" s="43"/>
      <c r="N47" s="67" t="inlineStr">
        <is>
          <t xml:space="preserve">★ Combo — Balance at Risk + Churn Rate % theo RiskSegment (83,4% → 6,5%)
★ Combo — Số KH + Churn Rate % theo Risk_Score 0-7 (6,5% → 100%, leo đều không gãy)
★ Combo — Balance Held + Customers Still With Bank theo RiskSegment × Geography</t>
        </is>
      </c>
      <c r="O47" s="43"/>
      <c r="P47" s="67" t="inlineStr">
        <is>
          <t xml:space="preserve">3 khối insight ĐỘNG — Card (new) gắn measure text, tự viết lại khi lọc
   Insight 1 Scale · Insight 2 Product · Insight 3 Action
★ Bar — Recoverable Loss theo 5 hành động khuyến nghị</t>
        </is>
      </c>
      <c r="Q47" s="43"/>
      <c r="R47" s="20"/>
      <c r="S47" s="20"/>
    </row>
    <row r="48" spans="1:19" ht="22.5" customHeight="1" x14ac:dyDescent="0.25">
      <c r="A48" s="45" t="s">
        <v>294</v>
      </c>
      <c r="B48" s="67" t="inlineStr">
        <is>
          <t xml:space="preserve">• Churn Rate % theo AgeBand
• Churn Rate % theo Geography
• Churn Rate % theo ProductBand
• Balance at Risk theo Geography
• Số KH theo RiskSegment</t>
        </is>
      </c>
      <c r="C48" s="67" t="inlineStr">
        <is>
          <t xml:space="preserve">• Churn Rate % theo AgeBand
• Churn Rate % theo Gender
• Churn Rate % theo Geography
• Churn Rate % theo Tenure
• Balance at Risk theo AgeBand</t>
        </is>
      </c>
      <c r="D48" s="67" t="inlineStr">
        <is>
          <t xml:space="preserve">• Churn Rate % theo ProductBand
• Churn Rate % theo BalanceBand
• Churn Rate % theo ActivityStatus
• Churn Rate % theo CreditBand
• Balance at Risk theo ProductBand</t>
        </is>
      </c>
      <c r="E48" s="50" t="inlineStr">
        <is>
          <t xml:space="preserve">• Churn Rate % theo RiskSegment
• Balance at Risk theo RiskSegment
• Số KH theo RiskSegment
• Avg Balance theo RiskSegment</t>
        </is>
      </c>
      <c r="F48" s="43"/>
      <c r="G48" s="43"/>
      <c r="H48" s="43"/>
      <c r="I48" s="43"/>
      <c r="J48" s="43"/>
      <c r="K48" s="43"/>
      <c r="L48" s="43"/>
      <c r="M48" s="43"/>
      <c r="N48" s="43"/>
      <c r="O48" s="43"/>
      <c r="P48" s="43"/>
      <c r="Q48" s="43"/>
      <c r="R48" s="20"/>
      <c r="S48" s="20"/>
    </row>
    <row r="49" spans="1:19" ht="22.5" customHeight="1" x14ac:dyDescent="0.25">
      <c r="A49" s="43"/>
      <c r="B49" s="43"/>
      <c r="C49" s="43"/>
      <c r="D49" s="43"/>
      <c r="E49" s="43"/>
      <c r="F49" s="43"/>
      <c r="G49" s="43"/>
      <c r="H49" s="43"/>
      <c r="I49" s="43"/>
      <c r="J49" s="43"/>
      <c r="K49" s="43"/>
      <c r="L49" s="43"/>
      <c r="M49" s="43"/>
      <c r="N49" s="43"/>
      <c r="O49" s="43"/>
      <c r="P49" s="43"/>
      <c r="Q49" s="43"/>
      <c r="R49" s="20"/>
      <c r="S49" s="20"/>
    </row>
    <row r="50" spans="1:19" ht="39" customHeight="1" x14ac:dyDescent="0.25">
      <c r="A50" s="43"/>
      <c r="B50" s="43"/>
      <c r="C50" s="43"/>
      <c r="D50" s="43"/>
      <c r="E50" s="43"/>
      <c r="F50" s="43"/>
      <c r="G50" s="50" t="s">
        <v>63</v>
      </c>
      <c r="H50" s="67" t="inlineStr">
        <is>
          <t xml:space="preserve">Decomposition Tree — bóc Balance at Risk theo 6 chiều, người xem tự chọn nhánh
Bar — Churn Rate % theo Customer Dimension (dùng chung parameter với scatter)
Column — Avg Balance Churned vs Retained · Combo — Số KH + Churn Rate % theo BalanceBand</t>
        </is>
      </c>
      <c r="I50" s="43"/>
      <c r="J50" s="67" t="inlineStr">
        <is>
          <t xml:space="preserve">Bar — Churn Rate % theo AgeBand × Gender (nữ 25,1% vs nam 16,5%)
Matrix — AgeBand × Gender, 5 measure gồm Balance at Risk và Avg Balance
&gt;&gt;&gt; Trường hợp B: chỉ cần 3 chart nên matrix Ở LẠI, chiếm phần lớn dải 3</t>
        </is>
      </c>
      <c r="K50" s="43"/>
      <c r="L50" s="67" t="inlineStr">
        <is>
          <t xml:space="preserve">Line — Churn Rate % theo Progression, legend ProductBand (4 đường song song)
Bar — Churn Rate % theo ProductBand × ActivityStatus (kích hoạt: 36,7% → 18,9%)
Bar — Churn Rate % theo field parameter Behaviour View (Activity ↔ CreditBand ↔ HasCrCard)</t>
        </is>
      </c>
      <c r="M50" s="43"/>
      <c r="N50" s="67" t="inlineStr">
        <is>
          <t xml:space="preserve">Line — Churn Rate % theo Progression, legend RiskSegment (5 đường KHÔNG cắt nhau)
Bar — Churn Rate % theo field parameter Risk View (4 yếu tố chấm điểm, sắp theo trọng số)</t>
        </is>
      </c>
      <c r="O50" s="43"/>
      <c r="P50" s="67" t="inlineStr">
        <is>
          <t xml:space="preserve">Bảng Recommendation Plan (Dim_Action, 5 dòng) — cột Action Wave là measure động
Khối Assumptions &amp; limitations: 4 giới hạn + 4 giả định
Recovery Rate là what-if parameter 0-60%, mặc định 30%</t>
        </is>
      </c>
      <c r="Q50" s="43"/>
      <c r="R50" s="20"/>
      <c r="S50" s="20"/>
    </row>
    <row r="51" spans="1:19" ht="22.5" customHeight="1" x14ac:dyDescent="0.25">
      <c r="A51" s="45" t="s">
        <v>293</v>
      </c>
      <c r="B51" s="67" t="inlineStr">
        <is>
          <t xml:space="preserve">• Churn theo Geography × ProductBand (heatmap)
• Churn theo AgeBand × ActivityStatus
• Balance at Risk theo Geography × AgeBand</t>
        </is>
      </c>
      <c r="C51" s="67" t="inlineStr">
        <is>
          <t xml:space="preserve">• Churn theo AgeBand × Gender
• Churn theo Geography × AgeBand
• Scatter Churn % × Balance at Risk theo AgeBand</t>
        </is>
      </c>
      <c r="D51" s="67" t="inlineStr">
        <is>
          <t xml:space="preserve">• Churn theo ProductBand × BalanceBand
• Churn theo Geography × ProductBand (ô nặng nhất 42,8%)
• Scatter Churn % × Balance at Risk theo ProductBand</t>
        </is>
      </c>
      <c r="E51" s="50" t="inlineStr">
        <is>
          <t xml:space="preserve">• Ma trận RiskSegment × Geography
• RiskSegment × ProductBand
• Scatter Churn % × Balance at Risk theo RiskSegment</t>
        </is>
      </c>
      <c r="F51" s="43"/>
      <c r="G51" s="43"/>
      <c r="H51" s="43"/>
      <c r="I51" s="43"/>
      <c r="J51" s="43"/>
      <c r="K51" s="43"/>
      <c r="L51" s="43"/>
      <c r="M51" s="43"/>
      <c r="N51" s="43"/>
      <c r="O51" s="43"/>
      <c r="P51" s="43"/>
      <c r="Q51" s="43"/>
      <c r="R51" s="20"/>
      <c r="S51" s="20"/>
    </row>
    <row r="52" spans="1:19" ht="22.5" customHeight="1" x14ac:dyDescent="0.25">
      <c r="A52" s="43"/>
      <c r="B52" s="43"/>
      <c r="C52" s="43"/>
      <c r="D52" s="43"/>
      <c r="E52" s="43"/>
      <c r="F52" s="43"/>
      <c r="G52" s="43"/>
      <c r="H52" s="43"/>
      <c r="I52" s="43"/>
      <c r="J52" s="43"/>
      <c r="K52" s="43"/>
      <c r="L52" s="43"/>
      <c r="M52" s="43"/>
      <c r="N52" s="43"/>
      <c r="O52" s="43"/>
      <c r="P52" s="43"/>
      <c r="Q52" s="43"/>
      <c r="R52" s="20"/>
      <c r="S52" s="20"/>
    </row>
    <row r="53" spans="1:19" ht="42" customHeight="1" x14ac:dyDescent="0.25">
      <c r="A53" s="43"/>
      <c r="B53" s="43"/>
      <c r="C53" s="43"/>
      <c r="D53" s="43"/>
      <c r="E53" s="43"/>
      <c r="F53" s="43"/>
      <c r="G53" s="50" t="s">
        <v>64</v>
      </c>
      <c r="H53" s="67" t="inlineStr">
        <is>
          <t xml:space="preserve">Ghi rõ Churn Rate tính trên toàn danh mục 10.000 khách tại thời điểm chụp,
không phải churn theo kỳ. 6 visual — dưới giới hạn 7.</t>
        </is>
      </c>
      <c r="I53" s="43"/>
      <c r="J53" s="67" t="inlineStr">
        <is>
          <t xml:space="preserve">Cảnh báo quy mô: nhóm 60+ chỉ có 464 khách nên tỷ lệ 24,8% kém ổn định hơn
nhóm 31-40 có 4.451 khách. 5 visual.</t>
        </is>
      </c>
      <c r="K53" s="43"/>
      <c r="L53" s="67" t="inlineStr">
        <is>
          <t xml:space="preserve">Nhóm 4 sản phẩm chỉ có 60 khách — churn 100% ấn tượng nhưng phải để
[Total Customers] trong tooltip. 5 chart &gt;&gt;&gt; trường hợp A: matrix chuyển sang
trang drill-through DT Products Details (matrix 3 cấp, rộng 1.887px).</t>
        </is>
      </c>
      <c r="M53" s="43"/>
      <c r="N53" s="67" t="inlineStr">
        <is>
          <t xml:space="preserve">Công thức chấm điểm không viết ra chữ mà thể hiện bằng chart Risk View —
gạt 4 yếu tố là thấy trọng số từ đâu. 5 chart &gt;&gt;&gt; trường hợp A: danh sách khách
Critical + High nằm ở trang DT Risk Details, lọc Exited=0, xuất Excel được.</t>
        </is>
      </c>
      <c r="O53" s="43"/>
      <c r="P53" s="19" t="inlineStr">
        <is>
          <t xml:space="preserve">Bắt buộc TẮT hàng Total của bảng: 5 nhóm khách chồng lấn nhau, cộng lại là
đếm trùng (3 hành động đầu gộp lại chỉ còn 3.575 khách duy nhất, không phải 4.239).
Projected Loss nhân với 24,3% (tỷ lệ theo TIỀN) chứ không phải 20,37% (theo NGƯỜI).</t>
        </is>
      </c>
      <c r="Q53" s="44"/>
      <c r="R53" s="20"/>
      <c r="S53" s="20"/>
    </row>
    <row r="54" spans="1:19" ht="22.5" customHeight="1" x14ac:dyDescent="0.25">
      <c r="A54" s="50" t="s">
        <v>64</v>
      </c>
      <c r="B54" s="80" t="inlineStr">
        <is>
          <t xml:space="preserve">⚠ KHÔNG có cột ngày → không làm được chart trend thật.
Thay bằng Tenure (0-10 năm) và Age làm trục tiến trình.
Ghi caveat: khi ngân hàng chạy lại hàng tháng, thêm cột SnapshotDate là mọi
biểu đồ thành trend mà không phải sửa thiết kế.</t>
        </is>
      </c>
      <c r="C54" s="80" t="inlineStr">
        <is>
          <t xml:space="preserve">⚠ Tenure không có tín hiệu (17,2-23,0%). Vẫn phải hiển thị chứ không giấu —
đây là bằng chứng bác bỏ giả định "khách lâu năm thì trung thành".</t>
        </is>
      </c>
      <c r="D54" s="80" t="inlineStr">
        <is>
          <t xml:space="preserve">⚠ Germany có 0% khách số dư = 0, trong khi France và Spain ~48%.
Khác biệt cấu trúc này giải thích một phần vì sao Germany churn cao —
phải nêu rõ, không quy hết cho hành vi khách hàng.</t>
        </is>
      </c>
      <c r="E54" s="50" t="inlineStr">
        <is>
          <t xml:space="preserve">⚠ Ba chiều KHÔNG có tín hiệu — vẫn giữ lại để bác bỏ giả định phổ biến:
• CreditScore: churn 18,8-22,1% qua 5 nhóm điểm
• EstimatedSalary: tương quan với churn chỉ 0,012
• HasCrCard: 20,8% vs 20,2% — có thẻ tín dụng không giữ chân được khách
&gt;&gt;&gt; Không đưa 3 chiều này vào công thức chấm điểm rủi ro dù trực giác nghề
     nghiệp mách bảo là nên có.</t>
        </is>
      </c>
      <c r="F54" s="43"/>
      <c r="G54" s="43"/>
      <c r="H54" s="43"/>
      <c r="I54" s="43"/>
      <c r="J54" s="43"/>
      <c r="K54" s="43"/>
      <c r="L54" s="43"/>
      <c r="M54" s="43"/>
      <c r="N54" s="43"/>
      <c r="O54" s="43"/>
      <c r="P54" s="19"/>
      <c r="Q54" s="43"/>
      <c r="R54" s="20"/>
      <c r="S54" s="20"/>
    </row>
    <row r="55" spans="1:19" ht="22.5" customHeight="1" x14ac:dyDescent="0.25">
      <c r="A55" s="43"/>
      <c r="B55" s="43"/>
      <c r="C55" s="43"/>
      <c r="D55" s="43"/>
      <c r="E55" s="43"/>
      <c r="F55" s="43"/>
      <c r="G55" s="43"/>
      <c r="H55" s="43"/>
      <c r="I55" s="43"/>
      <c r="J55" s="43"/>
      <c r="K55" s="43"/>
      <c r="L55" s="43"/>
      <c r="M55" s="43"/>
      <c r="N55" s="43"/>
      <c r="O55" s="43"/>
      <c r="P55" s="19"/>
      <c r="Q55" s="43"/>
      <c r="R55" s="20"/>
      <c r="S55" s="20"/>
    </row>
    <row r="56" spans="1:19" ht="22.5" customHeight="1" x14ac:dyDescent="0.25">
      <c r="A56" s="43"/>
      <c r="B56" s="43"/>
      <c r="C56" s="43"/>
      <c r="D56" s="43"/>
      <c r="E56" s="43"/>
      <c r="F56" s="43"/>
    </row>
    <row r="57" spans="1:19" ht="60" customHeight="1" x14ac:dyDescent="0.25">
      <c r="A57" s="82" t="inlineStr">
        <is>
          <t xml:space="preserve">AS-BUILT DESIGN PRINCIPLES
(1) Scorecard CHỈ ở dải 1, tối đa 6/trang. Thứ tự: Northstar 1 → Northstar 2 → chỉ số trang → best/worst để trigger.
(2) Tối đa 7 chart/table/matrix mỗi trang. Thực tế: trang 01 có 6, các trang còn lại 5.
(3) Mọi trang có ít nhất 1 chart tiến trình, dùng chung field parameter Progression: Age ↔ AgeBand ↔ Tenure ↔ TenureBand. Dataset không có cột ngày → ghi caveat rõ.
(4) Field parameter + button để một visual phục vụ nhiều góc nhìn. Kết quả: 4 parameter gắn cho 9 visual trên 4 trang.
(5) MATRIX/TABLE — nếu cần 5-6 chart mới kể đủ câu chuyện (trang 03, 04) thì bảng chuyển vào trang drill-through để có cả màn hình; nếu chỉ cần 3-4 chart (trang 02, 05) thì bảng ở lại và chiếm phần lớn dải 3.
(6) Scorecard &amp; narrative ĐỘNG (measure-driven), không hard-code — bài học lệch số từ Project 2.
(7) Luôn hiển thị kích thước nhóm cạnh mọi tỷ lệ phần trăm — nhóm 4 sản phẩm churn 100% nhưng chỉ 60 khách.
(8) Guardrail: Inactive % và Single Product % — hai chỉ báo sớm của churn tương lai.
(9) Nguồn dùng Bank_Churn.csv đã sạch. Power Query tập trung dựng 10 bảng Dim, các cột phân dải và 4 cột chấm điểm rủi ro — modeling thật, giá trị hơn việc bỏ ký hiệu tiền tệ.
(10) Giữ nguyên các chiều KHÔNG có tín hiệu (Tenure, CreditScore, HasCrCard) thay vì giấu đi — chúng bác bỏ giả định phổ biến và làm phân tích đáng tin hơn.
(11) Tên visual dùng tiếng Anh, dạng generic [Metric] by [Dimension] — không đặt tên kiểu kể chuyện.</t>
        </is>
      </c>
      <c r="B57" s="43"/>
      <c r="C57" s="43"/>
      <c r="D57" s="43"/>
      <c r="E57" s="43"/>
      <c r="F57" s="43"/>
      <c r="G57" s="43"/>
      <c r="H57" s="43"/>
      <c r="I57" s="43"/>
      <c r="J57" s="43"/>
      <c r="K57" s="43"/>
      <c r="L57" s="43"/>
      <c r="M57" s="43"/>
      <c r="N57" s="43"/>
      <c r="O57" s="43"/>
      <c r="P57" s="43"/>
      <c r="Q57" s="43"/>
      <c r="R57" s="43"/>
    </row>
    <row r="58" spans="1:19" ht="27.75" customHeight="1" x14ac:dyDescent="0.25">
      <c r="A58" s="88" t="s">
        <v>65</v>
      </c>
      <c r="B58" s="56"/>
      <c r="C58" s="56"/>
      <c r="D58" s="56"/>
      <c r="E58" s="56"/>
      <c r="F58" s="56"/>
      <c r="G58" s="56"/>
      <c r="H58" s="56"/>
      <c r="I58" s="56"/>
      <c r="J58" s="56"/>
      <c r="K58" s="56"/>
      <c r="L58" s="56"/>
      <c r="M58" s="56"/>
      <c r="N58" s="56"/>
      <c r="O58" s="21"/>
    </row>
    <row r="59" spans="1:19" ht="36" customHeight="1" x14ac:dyDescent="0.25">
      <c r="A59" s="65" t="s">
        <v>66</v>
      </c>
      <c r="B59" s="43"/>
      <c r="C59" s="43"/>
      <c r="D59" s="43"/>
      <c r="E59" s="43"/>
      <c r="F59" s="43"/>
      <c r="G59" s="43"/>
      <c r="H59" s="43"/>
      <c r="I59" s="43"/>
      <c r="J59" s="43"/>
      <c r="K59" s="43"/>
      <c r="L59" s="43"/>
      <c r="M59" s="43"/>
      <c r="N59" s="43"/>
    </row>
    <row r="73" spans="1:26" ht="30" customHeight="1" x14ac:dyDescent="0.25">
      <c r="A73" s="46" t="s">
        <v>67</v>
      </c>
      <c r="B73" s="43"/>
      <c r="C73" s="43"/>
      <c r="D73" s="43"/>
      <c r="E73" s="43"/>
      <c r="F73" s="43"/>
      <c r="G73" s="43"/>
      <c r="H73" s="43"/>
      <c r="I73" s="43"/>
      <c r="J73" s="43"/>
      <c r="K73" s="43"/>
      <c r="L73" s="43"/>
      <c r="M73" s="43"/>
      <c r="N73" s="43"/>
    </row>
    <row r="74" spans="1:26" ht="46.5" customHeight="1" x14ac:dyDescent="0.25">
      <c r="A74" s="22" t="s">
        <v>68</v>
      </c>
      <c r="B74" s="22" t="s">
        <v>69</v>
      </c>
      <c r="C74" s="22" t="s">
        <v>70</v>
      </c>
      <c r="D74" s="22" t="s">
        <v>71</v>
      </c>
      <c r="E74" s="22" t="s">
        <v>72</v>
      </c>
      <c r="F74" s="22" t="s">
        <v>73</v>
      </c>
      <c r="G74" s="22" t="s">
        <v>74</v>
      </c>
      <c r="H74" s="63" t="s">
        <v>75</v>
      </c>
      <c r="I74" s="43"/>
      <c r="J74" s="43"/>
      <c r="K74" s="10"/>
      <c r="L74" s="10"/>
      <c r="M74" s="10"/>
      <c r="N74" s="10"/>
      <c r="O74" s="96"/>
      <c r="P74" s="43"/>
      <c r="Q74" s="10"/>
      <c r="R74" s="10"/>
      <c r="S74" s="10"/>
      <c r="T74" s="10"/>
      <c r="U74" s="10"/>
      <c r="V74" s="10"/>
      <c r="W74" s="10"/>
      <c r="X74" s="10"/>
      <c r="Y74" s="10"/>
      <c r="Z74" s="10"/>
    </row>
    <row r="75" spans="1:26" ht="13.2" customHeight="1" x14ac:dyDescent="0.25">
      <c r="A75" s="79" t="s">
        <v>76</v>
      </c>
      <c r="B75" s="23" t="s">
        <v>77</v>
      </c>
      <c r="C75" s="23" t="inlineStr">
        <is>
          <t xml:space="preserve">Đủ 6 scorecard mỏ neo. Cần kiểm tra Balance at Risk có tính đúng chỉ trên Exited=1</t>
        </is>
      </c>
      <c r="D75" s="23" t="inlineStr">
        <is>
          <t xml:space="preserve">Strategy Map dùng scatter; waterfall cho dòng số dư
Không dùng pie cho quá 4 nhóm</t>
        </is>
      </c>
      <c r="E75" s="23" t="inlineStr">
        <is>
          <t xml:space="preserve">Scorecard dải 1 · Strategy Map + Waterfall dải 2 · donut + bar dải 3</t>
        </is>
      </c>
      <c r="F75" s="23" t="inlineStr">
        <is>
          <t xml:space="preserve">Theme Project 3 · nhóm churn cao tông ấm, nhóm an toàn tông lạnh</t>
        </is>
      </c>
      <c r="G75" s="23" t="inlineStr">
        <is>
          <t xml:space="preserve">Ghi rõ đơn vị € và mốc so sánh 20,37% của toàn danh mục</t>
        </is>
      </c>
      <c r="H75" s="42" t="inlineStr">
        <is>
          <t xml:space="preserve">Thêm đường tham chiếu 20,37% vào mọi bar chart churn để người xem tự định vị</t>
        </is>
      </c>
      <c r="I75" s="43"/>
      <c r="J75" s="43"/>
    </row>
    <row r="76" spans="1:26" ht="13.2" customHeight="1" x14ac:dyDescent="0.25">
      <c r="A76" s="43"/>
      <c r="B76" s="23" t="s">
        <v>78</v>
      </c>
      <c r="C76" s="23" t="inlineStr">
        <is>
          <t xml:space="preserve">5 nhóm tuổi đủ để xếp hạng. Bổ sung Balance at Risk cạnh Churn Rate ở mọi chiều</t>
        </is>
      </c>
      <c r="D76" s="23" t="inlineStr">
        <is>
          <t xml:space="preserve">Bar ngang cho AgeBand; line cho Tenure để nhấn tính tiến trình</t>
        </is>
      </c>
      <c r="E76" s="23" t="inlineStr">
        <is>
          <t xml:space="preserve">Scorecard trên · 2 hero giữa · matrix + bar dưới</t>
        </is>
      </c>
      <c r="F76" s="23" t="inlineStr">
        <is>
          <t xml:space="preserve">Tô đậm nhóm 51-60 và Germany để mắt bắt ngay điểm nóng</t>
        </is>
      </c>
      <c r="G76" s="23" t="inlineStr">
        <is>
          <t xml:space="preserve">Hiển thị số khách hàng cạnh mỗi tỷ lệ — nhóm 60+ chỉ có 464 KH</t>
        </is>
      </c>
      <c r="H76" s="42" t="inlineStr">
        <is>
          <t xml:space="preserve">Chart Tenure phẳng dễ bị hiểu là lỗi — thêm chú thích "không có tín hiệu, đây là phát hiện" </t>
        </is>
      </c>
      <c r="I76" s="43"/>
      <c r="J76" s="43"/>
    </row>
    <row r="77" spans="1:26" ht="13.2" customHeight="1" x14ac:dyDescent="0.25">
      <c r="A77" s="43"/>
      <c r="B77" s="23" t="s">
        <v>79</v>
      </c>
      <c r="C77" s="23" t="inlineStr">
        <is>
          <t xml:space="preserve">Nhóm 3 và 4 sản phẩm rất nhỏ (266 và 60 KH) — bắt buộc hiển thị kích thước</t>
        </is>
      </c>
      <c r="D77" s="23" t="inlineStr">
        <is>
          <t xml:space="preserve">Bar cho ProductBand; matrix heatmap cho Geography × ProductBand</t>
        </is>
      </c>
      <c r="E77" s="23" t="inlineStr">
        <is>
          <t xml:space="preserve">Bar sản phẩm là hero trái, matrix là hero phải</t>
        </is>
      </c>
      <c r="F77" s="23" t="inlineStr">
        <is>
          <t xml:space="preserve">Heatmap dùng thang một màu, đậm dần theo churn — tránh cầu vồng</t>
        </is>
      </c>
      <c r="G77" s="23" t="inlineStr">
        <is>
          <t xml:space="preserve">Chú thích Germany có 0% khách số dư = 0, khác France/Spain ~48%</t>
        </is>
      </c>
      <c r="H77" s="42" t="inlineStr">
        <is>
          <t xml:space="preserve">Đặt Balance at Risk ngay cạnh Churn Rate để lộ ra thứ tự ngược nhau</t>
        </is>
      </c>
      <c r="I77" s="43"/>
      <c r="J77" s="43"/>
    </row>
    <row r="78" spans="1:26" ht="13.2" customHeight="1" x14ac:dyDescent="0.25">
      <c r="A78" s="43"/>
      <c r="B78" s="23" t="s">
        <v>80</v>
      </c>
      <c r="C78" s="23" t="inlineStr">
        <is>
          <t xml:space="preserve">Công thức chấm điểm phải hiện ngay trên trang, không giấu trong model</t>
        </is>
      </c>
      <c r="D78" s="23" t="inlineStr">
        <is>
          <t xml:space="preserve">Bar xếp hạng 5 nhóm; scatter số KH × Balance at Risk</t>
        </is>
      </c>
      <c r="E78" s="23" t="inlineStr">
        <is>
          <t xml:space="preserve">Scorecard trên · bar + scatter giữa · bảng danh sách KH dưới</t>
        </is>
      </c>
      <c r="F78" s="23" t="inlineStr">
        <is>
          <t xml:space="preserve">5 nhóm dùng thang đơn sắc từ nhạt tới đậm, không dùng 5 màu khác nhau</t>
        </is>
      </c>
      <c r="G78" s="23" t="inlineStr">
        <is>
          <t xml:space="preserve">Ghi rõ 4 yếu tố chấm điểm và trọng số từng yếu tố</t>
        </is>
      </c>
      <c r="H78" s="42" t="inlineStr">
        <is>
          <t xml:space="preserve">Bảng danh sách Critical+High phải xuất được ra Excel cho đội gọi điện</t>
        </is>
      </c>
      <c r="I78" s="43"/>
      <c r="J78" s="43"/>
    </row>
    <row r="79" spans="1:26" ht="13.2" customHeight="1" x14ac:dyDescent="0.25">
      <c r="A79" s="43"/>
      <c r="B79" s="23" t="s">
        <v>81</v>
      </c>
      <c r="C79" s="23" t="inlineStr">
        <is>
          <t xml:space="preserve">Mỗi thẻ insight = số ĐỘNG từ measure + 1 hành động cụ thể</t>
        </is>
      </c>
      <c r="D79" s="23" t="inlineStr">
        <is>
          <t xml:space="preserve">Không dùng chart — card + textbox có measure nhúng</t>
        </is>
      </c>
      <c r="E79" s="23" t="inlineStr">
        <is>
          <t xml:space="preserve">4 thẻ insight trên · bảng khuyến nghị dưới · caveat cuối trang</t>
        </is>
      </c>
      <c r="F79" s="23" t="inlineStr">
        <is>
          <t xml:space="preserve">Mã màu theo mức ưu tiên (Do now / High / Quick win / Strategic / Ops)</t>
        </is>
      </c>
      <c r="G79" s="23" t="inlineStr">
        <is>
          <t xml:space="preserve">Caveat: ảnh chụp một thời điểm · không có chi phí giữ chân nên chưa tính được ROI</t>
        </is>
      </c>
      <c r="H79" s="42" t="inlineStr">
        <is>
          <t xml:space="preserve">Rà lại toàn bộ số trong text — tuyệt đối không gõ tĩnh (lỗi đã gặp ở Project 2)</t>
        </is>
      </c>
      <c r="I79" s="43"/>
      <c r="J79" s="43"/>
    </row>
    <row r="80" spans="1:26" ht="13.2" customHeight="1" x14ac:dyDescent="0.25">
      <c r="A80" s="79" t="s">
        <v>82</v>
      </c>
      <c r="B80" s="24" t="s">
        <v>77</v>
      </c>
      <c r="C80" s="24" t="inlineStr">
        <is>
          <t xml:space="preserve">Đã đổi Projected Loss sang nhân [Balance at Risk %] 24,3% thay vì churn theo đầu người 20,37% — vì người rời giàu hơn người ở lại</t>
        </is>
      </c>
      <c r="D80" s="24" t="inlineStr">
        <is>
          <t xml:space="preserve">Bỏ waterfall và donut. Dùng scatter + decomposition tree để tăng tương tác cho trang overview</t>
        </is>
      </c>
      <c r="E80" s="24" t="inlineStr">
        <is>
          <t xml:space="preserve">Scorecard dải 1 · line + scatter + decomp tree dải 2 · bar + column + combo dải 3</t>
        </is>
      </c>
      <c r="F80" s="24" t="inlineStr">
        <is>
          <t xml:space="preserve">Theme tối #2A2D3E · nhóm churn cao tông ấm #E07A5F, nhóm an toàn tông lạnh #81B29A</t>
        </is>
      </c>
      <c r="G80" s="24" t="inlineStr">
        <is>
          <t xml:space="preserve">Đường tham chiếu dùng fx [Portfolio Churn Rate %], không gõ số cứng</t>
        </is>
      </c>
      <c r="H80" s="53" t="inlineStr">
        <is>
          <t xml:space="preserve">Đổi trục combo dải 3 sang BalanceBand: Risk Segment là khái niệm của trang 04, người xem trang 01 chưa được giới thiệu</t>
        </is>
      </c>
      <c r="I80" s="43"/>
      <c r="J80" s="43"/>
    </row>
    <row r="81" spans="1:10" ht="13.2" customHeight="1" x14ac:dyDescent="0.25">
      <c r="A81" s="43"/>
      <c r="B81" s="24" t="s">
        <v>78</v>
      </c>
      <c r="C81" s="24" t="inlineStr">
        <is>
          <t xml:space="preserve">Thêm Avg Age Churned và Age Gap vào scorecard — chân dung theo tuổi là phát hiện chính của trang</t>
        </is>
      </c>
      <c r="D81" s="24" t="inlineStr">
        <is>
          <t xml:space="preserve">Bar ngang cho AgeBand × Gender; line cho Progression để nhấn tính tiến trình</t>
        </is>
      </c>
      <c r="E81" s="24" t="inlineStr">
        <is>
          <t xml:space="preserve">Trường hợp B — 3 chart dải 2, matrix chiếm phần lớn dải 3</t>
        </is>
      </c>
      <c r="F81" s="24" t="inlineStr">
        <is>
          <t xml:space="preserve">Tô đậm nhóm 51-60 và Germany để mắt bắt ngay điểm nóng</t>
        </is>
      </c>
      <c r="G81" s="24" t="inlineStr">
        <is>
          <t xml:space="preserve">Hiển thị số khách hàng cạnh mỗi tỷ lệ — nhóm 60+ chỉ có 464 KH</t>
        </is>
      </c>
      <c r="H81" s="53" t="inlineStr">
        <is>
          <t xml:space="preserve">Chart Tenure phẳng dễ bị hiểu là lỗi — thêm chú thích "không có tín hiệu, đây là phát hiện"</t>
        </is>
      </c>
      <c r="I81" s="43"/>
      <c r="J81" s="43"/>
    </row>
    <row r="82" spans="1:10" ht="13.2" customHeight="1" x14ac:dyDescent="0.25">
      <c r="A82" s="43"/>
      <c r="B82" s="24" t="s">
        <v>79</v>
      </c>
      <c r="C82" s="24" t="inlineStr">
        <is>
          <t xml:space="preserve">Card 5-6 đổi reference label sang Worst Product Group Value và Biggest Loss Value — trước đó dùng nhầm Churn Rate % toàn danh mục (20,4%) thay vì 100%</t>
        </is>
      </c>
      <c r="D82" s="24" t="inlineStr">
        <is>
          <t xml:space="preserve">Combo cột-đường cho ProductBand và BalanceBand để lộ ra cột và đường đi ngược chiều</t>
        </is>
      </c>
      <c r="E82" s="24" t="inlineStr">
        <is>
          <t xml:space="preserve">Trường hợp A — 5 chart trên trang, matrix chuyển hẳn vào DT Products Details</t>
        </is>
      </c>
      <c r="F82" s="24" t="inlineStr">
        <is>
          <t xml:space="preserve">Thang một màu đậm dần theo churn — tránh cầu vồng</t>
        </is>
      </c>
      <c r="G82" s="24" t="inlineStr">
        <is>
          <t xml:space="preserve">Rút gọn nhãn card thành "4 prods" / "1 prod" để chừa chỗ cho reference label</t>
        </is>
      </c>
      <c r="H82" s="53" t="inlineStr">
        <is>
          <t xml:space="preserve">Behaviour View đang lưu mặc định ở Has Credit Card — nên lưu ở Activity Status để trang mở ra mạnh hơn</t>
        </is>
      </c>
      <c r="I82" s="43"/>
      <c r="J82" s="43"/>
    </row>
    <row r="83" spans="1:10" ht="13.2" customHeight="1" x14ac:dyDescent="0.25">
      <c r="A83" s="43"/>
      <c r="B83" s="24" t="s">
        <v>80</v>
      </c>
      <c r="C83" s="24" t="inlineStr">
        <is>
          <t xml:space="preserve">Chart Save List phải dùng [Retained Balance] / [Retained Customers], KHÔNG dùng [Balance to Protect] / [Customers to Save] vì hai measure đó gói sẵn Risk_Score&gt;=3 nên Medium/Watch/Low trả BLANK</t>
        </is>
      </c>
      <c r="D83" s="24" t="inlineStr">
        <is>
          <t xml:space="preserve">Combo Risk_Score 0-7 để chứng minh thang điểm chạy đúng trước khi người xem tin 4 visual còn lại</t>
        </is>
      </c>
      <c r="E83" s="24" t="inlineStr">
        <is>
          <t xml:space="preserve">Trường hợp A — danh sách khách hàng ở DT Risk Details, không nhét vào trang chính</t>
        </is>
      </c>
      <c r="F83" s="24" t="inlineStr">
        <is>
          <t xml:space="preserve">5 nhóm dùng thang đơn sắc từ nhạt tới đậm, không dùng 5 màu khác nhau</t>
        </is>
      </c>
      <c r="G83" s="24" t="inlineStr">
        <is>
          <t xml:space="preserve">Đổi nhãn card: Addressable Loss → High-Risk Loss to Date, để phân biệt tiền đã mất và tiền còn cứu được</t>
        </is>
      </c>
      <c r="H83" s="53" t="inlineStr">
        <is>
          <t xml:space="preserve">Thêm legend Geography vào chart Save List — lộ ra 78/93 khách Critical còn lại nằm ở Germany</t>
        </is>
      </c>
      <c r="I83" s="43"/>
      <c r="J83" s="43"/>
    </row>
    <row r="84" spans="1:10" ht="13.2" customHeight="1" x14ac:dyDescent="0.25">
      <c r="A84" s="43"/>
      <c r="B84" s="24" t="s">
        <v>81</v>
      </c>
      <c r="C84" s="24" t="inlineStr">
        <is>
          <t xml:space="preserve">3 khối insight lấy số từ measure, không gõ tĩnh. Đổi lọc là câu tự viết lại</t>
        </is>
      </c>
      <c r="D84" s="24" t="inlineStr">
        <is>
          <t xml:space="preserve">Không dùng nhiều chart — chữ là nội dung chính, 1 bar chart xếp hạng là đủ</t>
        </is>
      </c>
      <c r="E84" s="24" t="inlineStr">
        <is>
          <t xml:space="preserve">Bố cục 2 cột: trái 1240px là insight + bảng, phải 624px là chart + khối giả định</t>
        </is>
      </c>
      <c r="F84" s="24" t="inlineStr">
        <is>
          <t xml:space="preserve">Card hành động tông xanh, card thiệt hại tông đỏ — đảo tỷ lệ màu so với 4 trang trước</t>
        </is>
      </c>
      <c r="G84" s="24" t="inlineStr">
        <is>
          <t xml:space="preserve">Ghi rõ 30% là GIẢ ĐỊNH, không phải dự báo</t>
        </is>
      </c>
      <c r="H84" s="53" t="inlineStr">
        <is>
          <t xml:space="preserve">TẮT hàng Total của bảng khuyến nghị — 5 nhóm chồng lấn, cộng lại là đếm trùng</t>
        </is>
      </c>
      <c r="I84" s="43"/>
      <c r="J84" s="43"/>
    </row>
    <row r="85" spans="1:10" ht="13.2" customHeight="1" x14ac:dyDescent="0.25">
      <c r="A85" s="79" t="s">
        <v>83</v>
      </c>
      <c r="B85" s="23" t="s">
        <v>77</v>
      </c>
      <c r="C85" s="23"/>
      <c r="D85" s="23"/>
      <c r="E85" s="23"/>
      <c r="F85" s="23"/>
      <c r="G85" s="23"/>
      <c r="H85" s="42"/>
      <c r="I85" s="43"/>
      <c r="J85" s="43"/>
    </row>
    <row r="86" spans="1:10" ht="13.2" customHeight="1" x14ac:dyDescent="0.25">
      <c r="A86" s="43"/>
      <c r="B86" s="23" t="s">
        <v>78</v>
      </c>
      <c r="C86" s="23"/>
      <c r="D86" s="23"/>
      <c r="E86" s="23"/>
      <c r="F86" s="23"/>
      <c r="G86" s="23"/>
      <c r="H86" s="42"/>
      <c r="I86" s="43"/>
      <c r="J86" s="43"/>
    </row>
    <row r="87" spans="1:10" ht="13.2" customHeight="1" x14ac:dyDescent="0.25">
      <c r="A87" s="43"/>
      <c r="B87" s="23" t="s">
        <v>79</v>
      </c>
      <c r="C87" s="23"/>
      <c r="D87" s="23"/>
      <c r="E87" s="23"/>
      <c r="F87" s="23"/>
      <c r="G87" s="23"/>
      <c r="H87" s="42"/>
      <c r="I87" s="43"/>
      <c r="J87" s="43"/>
    </row>
    <row r="88" spans="1:10" ht="13.2" customHeight="1" x14ac:dyDescent="0.25">
      <c r="A88" s="43"/>
      <c r="B88" s="23" t="s">
        <v>80</v>
      </c>
      <c r="C88" s="23"/>
      <c r="D88" s="23"/>
      <c r="E88" s="23"/>
      <c r="F88" s="23"/>
      <c r="G88" s="23"/>
      <c r="H88" s="42"/>
      <c r="I88" s="43"/>
      <c r="J88" s="43"/>
    </row>
    <row r="89" spans="1:10" ht="13.2" customHeight="1" x14ac:dyDescent="0.25">
      <c r="A89" s="43"/>
      <c r="B89" s="23" t="s">
        <v>81</v>
      </c>
      <c r="C89" s="23"/>
      <c r="D89" s="23"/>
      <c r="E89" s="23"/>
      <c r="F89" s="23"/>
      <c r="G89" s="23"/>
      <c r="H89" s="42"/>
      <c r="I89" s="43"/>
      <c r="J89" s="43"/>
    </row>
    <row r="90" spans="1:10" ht="13.2" customHeight="1" x14ac:dyDescent="0.25">
      <c r="A90" s="79" t="s">
        <v>84</v>
      </c>
      <c r="B90" s="24" t="s">
        <v>77</v>
      </c>
      <c r="C90" s="24"/>
      <c r="D90" s="24"/>
      <c r="E90" s="24"/>
      <c r="F90" s="24"/>
      <c r="G90" s="24"/>
      <c r="H90" s="53"/>
      <c r="I90" s="43"/>
      <c r="J90" s="43"/>
    </row>
    <row r="91" spans="1:10" ht="13.2" customHeight="1" x14ac:dyDescent="0.25">
      <c r="A91" s="43"/>
      <c r="B91" s="24" t="s">
        <v>78</v>
      </c>
      <c r="C91" s="24"/>
      <c r="D91" s="24"/>
      <c r="E91" s="24"/>
      <c r="F91" s="24"/>
      <c r="G91" s="24"/>
      <c r="H91" s="53"/>
      <c r="I91" s="43"/>
      <c r="J91" s="43"/>
    </row>
    <row r="92" spans="1:10" ht="13.2" customHeight="1" x14ac:dyDescent="0.25">
      <c r="A92" s="43"/>
      <c r="B92" s="24" t="s">
        <v>79</v>
      </c>
      <c r="C92" s="24"/>
      <c r="D92" s="24"/>
      <c r="E92" s="24"/>
      <c r="F92" s="24"/>
      <c r="G92" s="24"/>
      <c r="H92" s="53"/>
      <c r="I92" s="43"/>
      <c r="J92" s="43"/>
    </row>
    <row r="93" spans="1:10" ht="13.2" customHeight="1" x14ac:dyDescent="0.25">
      <c r="A93" s="43"/>
      <c r="B93" s="24" t="s">
        <v>80</v>
      </c>
      <c r="C93" s="24"/>
      <c r="D93" s="24"/>
      <c r="E93" s="24"/>
      <c r="F93" s="24"/>
      <c r="G93" s="24"/>
      <c r="H93" s="53"/>
      <c r="I93" s="43"/>
      <c r="J93" s="43"/>
    </row>
    <row r="94" spans="1:10" ht="13.2" customHeight="1" x14ac:dyDescent="0.25">
      <c r="A94" s="43"/>
      <c r="B94" s="24" t="s">
        <v>81</v>
      </c>
      <c r="C94" s="24"/>
      <c r="D94" s="24"/>
      <c r="E94" s="24"/>
      <c r="F94" s="24"/>
      <c r="G94" s="24"/>
      <c r="H94" s="53"/>
      <c r="I94" s="43"/>
      <c r="J94" s="43"/>
    </row>
    <row r="95" spans="1:10" ht="13.2" customHeight="1" x14ac:dyDescent="0.25">
      <c r="A95" s="79" t="s">
        <v>85</v>
      </c>
      <c r="B95" s="23" t="s">
        <v>77</v>
      </c>
      <c r="C95" s="23"/>
      <c r="D95" s="23"/>
      <c r="E95" s="23"/>
      <c r="F95" s="23"/>
      <c r="G95" s="23"/>
      <c r="H95" s="42"/>
      <c r="I95" s="43"/>
      <c r="J95" s="43"/>
    </row>
    <row r="96" spans="1:10" ht="13.2" customHeight="1" x14ac:dyDescent="0.25">
      <c r="A96" s="43"/>
      <c r="B96" s="23" t="s">
        <v>78</v>
      </c>
      <c r="C96" s="23"/>
      <c r="D96" s="23"/>
      <c r="E96" s="23"/>
      <c r="F96" s="23"/>
      <c r="G96" s="23"/>
      <c r="H96" s="42"/>
      <c r="I96" s="43"/>
      <c r="J96" s="43"/>
    </row>
    <row r="97" spans="1:10" ht="13.2" customHeight="1" x14ac:dyDescent="0.25">
      <c r="A97" s="43"/>
      <c r="B97" s="23" t="s">
        <v>79</v>
      </c>
      <c r="C97" s="23"/>
      <c r="D97" s="23"/>
      <c r="E97" s="23"/>
      <c r="F97" s="23"/>
      <c r="G97" s="23"/>
      <c r="H97" s="42"/>
      <c r="I97" s="43"/>
      <c r="J97" s="43"/>
    </row>
    <row r="98" spans="1:10" ht="13.2" customHeight="1" x14ac:dyDescent="0.25">
      <c r="A98" s="43"/>
      <c r="B98" s="23" t="s">
        <v>80</v>
      </c>
      <c r="C98" s="23"/>
      <c r="D98" s="23"/>
      <c r="E98" s="23"/>
      <c r="F98" s="23"/>
      <c r="G98" s="23"/>
      <c r="H98" s="42"/>
      <c r="I98" s="43"/>
      <c r="J98" s="43"/>
    </row>
    <row r="99" spans="1:10" ht="13.2" customHeight="1" x14ac:dyDescent="0.25">
      <c r="A99" s="43"/>
      <c r="B99" s="23" t="s">
        <v>81</v>
      </c>
      <c r="C99" s="23"/>
      <c r="D99" s="23"/>
      <c r="E99" s="23"/>
      <c r="F99" s="23"/>
      <c r="G99" s="23"/>
      <c r="H99" s="42"/>
      <c r="I99" s="43"/>
      <c r="J99" s="43"/>
    </row>
    <row r="100" spans="1:10" ht="13.2" customHeight="1" x14ac:dyDescent="0.25">
      <c r="A100" s="46" t="s">
        <v>86</v>
      </c>
      <c r="B100" s="43"/>
      <c r="C100" s="43"/>
      <c r="D100" s="43"/>
      <c r="E100" s="43"/>
      <c r="F100" s="43"/>
      <c r="G100" s="43"/>
      <c r="H100" s="43"/>
      <c r="I100" s="43"/>
      <c r="J100" s="43"/>
    </row>
    <row r="101" spans="1:10" ht="15.75" customHeight="1" x14ac:dyDescent="0.25">
      <c r="A101" s="43"/>
      <c r="B101" s="43"/>
      <c r="C101" s="43"/>
      <c r="D101" s="43"/>
      <c r="E101" s="43"/>
      <c r="F101" s="43"/>
      <c r="G101" s="43"/>
      <c r="H101" s="43"/>
      <c r="I101" s="43"/>
      <c r="J101" s="43"/>
    </row>
  </sheetData>
  <mergeCells count="195">
    <mergeCell ref="A95:A99"/>
    <mergeCell ref="C31:D32"/>
    <mergeCell ref="C48:C50"/>
    <mergeCell ref="A59:N59"/>
    <mergeCell ref="N50:O52"/>
    <mergeCell ref="L35:N35"/>
    <mergeCell ref="H53:I55"/>
    <mergeCell ref="H86:J86"/>
    <mergeCell ref="H95:J95"/>
    <mergeCell ref="H92:J92"/>
    <mergeCell ref="H97:J97"/>
    <mergeCell ref="J47:K49"/>
    <mergeCell ref="G53:G55"/>
    <mergeCell ref="I36:J37"/>
    <mergeCell ref="G34:H35"/>
    <mergeCell ref="H47:I49"/>
    <mergeCell ref="F34:F35"/>
    <mergeCell ref="C54:C56"/>
    <mergeCell ref="N44:O44"/>
    <mergeCell ref="E48:E50"/>
    <mergeCell ref="H99:J99"/>
    <mergeCell ref="H98:J98"/>
    <mergeCell ref="H89:J89"/>
    <mergeCell ref="L45:M46"/>
    <mergeCell ref="L18:Q20"/>
    <mergeCell ref="A3:I4"/>
    <mergeCell ref="L17:Q17"/>
    <mergeCell ref="B48:B50"/>
    <mergeCell ref="S16:U20"/>
    <mergeCell ref="S11:U11"/>
    <mergeCell ref="A30:B30"/>
    <mergeCell ref="W11:Y15"/>
    <mergeCell ref="C51:C53"/>
    <mergeCell ref="A37:B38"/>
    <mergeCell ref="E11:F18"/>
    <mergeCell ref="A8:U8"/>
    <mergeCell ref="K9:K20"/>
    <mergeCell ref="C34:D35"/>
    <mergeCell ref="A33:B33"/>
    <mergeCell ref="N45:O46"/>
    <mergeCell ref="E51:E53"/>
    <mergeCell ref="A27:B29"/>
    <mergeCell ref="C36:D36"/>
    <mergeCell ref="P45:Q46"/>
    <mergeCell ref="P13:Q13"/>
    <mergeCell ref="H50:I52"/>
    <mergeCell ref="G32:H33"/>
    <mergeCell ref="K24:K35"/>
    <mergeCell ref="O25:Q26"/>
    <mergeCell ref="A51:A53"/>
    <mergeCell ref="F30:F31"/>
    <mergeCell ref="B45:B47"/>
    <mergeCell ref="A2:I2"/>
    <mergeCell ref="C14:D18"/>
    <mergeCell ref="A24:D24"/>
    <mergeCell ref="L11:M12"/>
    <mergeCell ref="E24:E35"/>
    <mergeCell ref="N11:O12"/>
    <mergeCell ref="L34:N34"/>
    <mergeCell ref="O29:Q29"/>
    <mergeCell ref="G11:H18"/>
    <mergeCell ref="I11:J18"/>
    <mergeCell ref="P50:Q52"/>
    <mergeCell ref="F25:F27"/>
    <mergeCell ref="P47:Q49"/>
    <mergeCell ref="E45:E47"/>
    <mergeCell ref="I32:J33"/>
    <mergeCell ref="L36:N36"/>
    <mergeCell ref="O32:Q33"/>
    <mergeCell ref="L50:M52"/>
    <mergeCell ref="H45:I46"/>
    <mergeCell ref="J45:K46"/>
    <mergeCell ref="L25:N26"/>
    <mergeCell ref="G42:O42"/>
    <mergeCell ref="G30:H31"/>
    <mergeCell ref="H88:J88"/>
    <mergeCell ref="H81:J81"/>
    <mergeCell ref="H90:J90"/>
    <mergeCell ref="O27:Q27"/>
    <mergeCell ref="L44:M44"/>
    <mergeCell ref="A1:I1"/>
    <mergeCell ref="L37:N37"/>
    <mergeCell ref="A90:A94"/>
    <mergeCell ref="A58:N58"/>
    <mergeCell ref="A36:B36"/>
    <mergeCell ref="A85:A89"/>
    <mergeCell ref="A5:I5"/>
    <mergeCell ref="B51:B53"/>
    <mergeCell ref="B43:E43"/>
    <mergeCell ref="C37:D38"/>
    <mergeCell ref="A42:E42"/>
    <mergeCell ref="L27:N27"/>
    <mergeCell ref="L10:M10"/>
    <mergeCell ref="N10:O10"/>
    <mergeCell ref="O37:Q37"/>
    <mergeCell ref="L24:O24"/>
    <mergeCell ref="A80:A84"/>
    <mergeCell ref="J44:K44"/>
    <mergeCell ref="H85:J85"/>
    <mergeCell ref="H83:J83"/>
    <mergeCell ref="H94:J94"/>
    <mergeCell ref="L53:M55"/>
    <mergeCell ref="L29:N29"/>
    <mergeCell ref="N53:O55"/>
    <mergeCell ref="L47:M49"/>
    <mergeCell ref="N47:O49"/>
    <mergeCell ref="H82:J82"/>
    <mergeCell ref="H77:J77"/>
    <mergeCell ref="H84:J84"/>
    <mergeCell ref="H75:J75"/>
    <mergeCell ref="O74:P74"/>
    <mergeCell ref="H78:J78"/>
    <mergeCell ref="O35:Q35"/>
    <mergeCell ref="F42:F56"/>
    <mergeCell ref="H43:O43"/>
    <mergeCell ref="L30:N30"/>
    <mergeCell ref="E54:E56"/>
    <mergeCell ref="A73:N73"/>
    <mergeCell ref="P44:Q44"/>
    <mergeCell ref="H44:I44"/>
    <mergeCell ref="J53:K55"/>
    <mergeCell ref="A31:B32"/>
    <mergeCell ref="J50:K52"/>
    <mergeCell ref="A9:J9"/>
    <mergeCell ref="G10:H10"/>
    <mergeCell ref="H80:J80"/>
    <mergeCell ref="D48:D50"/>
    <mergeCell ref="A54:A56"/>
    <mergeCell ref="A75:A79"/>
    <mergeCell ref="C11:D12"/>
    <mergeCell ref="H79:J79"/>
    <mergeCell ref="C26:D26"/>
    <mergeCell ref="G50:G52"/>
    <mergeCell ref="F32:F33"/>
    <mergeCell ref="B54:B56"/>
    <mergeCell ref="D54:D56"/>
    <mergeCell ref="D45:D47"/>
    <mergeCell ref="C30:D30"/>
    <mergeCell ref="F24:J24"/>
    <mergeCell ref="D51:D53"/>
    <mergeCell ref="G47:G49"/>
    <mergeCell ref="A57:R57"/>
    <mergeCell ref="A41:Q41"/>
    <mergeCell ref="L32:N33"/>
    <mergeCell ref="A34:B35"/>
    <mergeCell ref="A45:A47"/>
    <mergeCell ref="C45:C47"/>
    <mergeCell ref="S9:U9"/>
    <mergeCell ref="L9:Q9"/>
    <mergeCell ref="S12:U12"/>
    <mergeCell ref="L14:M15"/>
    <mergeCell ref="P11:Q12"/>
    <mergeCell ref="C33:D33"/>
    <mergeCell ref="A39:Q39"/>
    <mergeCell ref="L13:M13"/>
    <mergeCell ref="I10:J10"/>
    <mergeCell ref="L28:N28"/>
    <mergeCell ref="A10:B10"/>
    <mergeCell ref="A14:B18"/>
    <mergeCell ref="F36:F37"/>
    <mergeCell ref="P10:Q10"/>
    <mergeCell ref="A26:B26"/>
    <mergeCell ref="S13:U15"/>
    <mergeCell ref="R9:R20"/>
    <mergeCell ref="P14:Q15"/>
    <mergeCell ref="L16:Q16"/>
    <mergeCell ref="C10:D10"/>
    <mergeCell ref="A25:B25"/>
    <mergeCell ref="E10:F10"/>
    <mergeCell ref="C25:D25"/>
    <mergeCell ref="I34:J35"/>
    <mergeCell ref="H96:J96"/>
    <mergeCell ref="Q53:Q55"/>
    <mergeCell ref="A48:A50"/>
    <mergeCell ref="A100:J101"/>
    <mergeCell ref="A11:B12"/>
    <mergeCell ref="C27:D29"/>
    <mergeCell ref="G36:H37"/>
    <mergeCell ref="G45:G46"/>
    <mergeCell ref="N13:O15"/>
    <mergeCell ref="H91:J91"/>
    <mergeCell ref="I30:J31"/>
    <mergeCell ref="O34:Q34"/>
    <mergeCell ref="A23:Q23"/>
    <mergeCell ref="O28:Q28"/>
    <mergeCell ref="G29:H29"/>
    <mergeCell ref="I29:J29"/>
    <mergeCell ref="H93:J93"/>
    <mergeCell ref="O36:Q36"/>
    <mergeCell ref="A13:B13"/>
    <mergeCell ref="O30:Q30"/>
    <mergeCell ref="C13:D13"/>
    <mergeCell ref="H74:J74"/>
    <mergeCell ref="H87:J87"/>
    <mergeCell ref="H76:J76"/>
  </mergeCells>
  <dataValidations count="1">
    <dataValidation type="list" allowBlank="1" showErrorMessage="1" sqref="C75:G99" xr:uid="{00000000-0002-0000-0000-000000000000}">
      <formula1>"1,2,3,4,5,6,7,8,9,10"</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
  <sheetViews>
    <sheetView workbookViewId="0"/>
  </sheetViews>
  <sheetFormatPr defaultColWidth="12.6640625" defaultRowHeight="15.75" customHeight="1" x14ac:dyDescent="0.25"/>
  <cols>
    <col min="1" max="1" width="13.44140625" customWidth="1"/>
  </cols>
  <sheetData>
    <row r="1" spans="1:21" ht="17.399999999999999" customHeight="1" x14ac:dyDescent="0.3">
      <c r="A1" s="87" t="s">
        <v>87</v>
      </c>
      <c r="B1" s="56"/>
      <c r="C1" s="56"/>
      <c r="D1" s="56"/>
      <c r="E1" s="56"/>
      <c r="F1" s="56"/>
      <c r="G1" s="56"/>
      <c r="H1" s="56"/>
      <c r="I1" s="57"/>
      <c r="L1" s="136" t="s">
        <v>88</v>
      </c>
      <c r="M1" s="56"/>
      <c r="N1" s="56"/>
      <c r="O1" s="56"/>
      <c r="P1" s="56"/>
      <c r="Q1" s="56"/>
      <c r="R1" s="1"/>
      <c r="S1" s="1"/>
      <c r="T1" s="1"/>
    </row>
    <row r="2" spans="1:21" ht="15.6" customHeight="1" x14ac:dyDescent="0.3">
      <c r="A2" s="89" t="s">
        <v>0</v>
      </c>
      <c r="B2" s="90"/>
      <c r="C2" s="90"/>
      <c r="D2" s="90"/>
      <c r="E2" s="90"/>
      <c r="F2" s="90"/>
      <c r="G2" s="90"/>
      <c r="H2" s="90"/>
      <c r="I2" s="91"/>
      <c r="L2" s="2" t="s">
        <v>89</v>
      </c>
      <c r="M2" s="2">
        <v>1</v>
      </c>
      <c r="N2" s="2">
        <v>2</v>
      </c>
      <c r="O2" s="2">
        <v>3</v>
      </c>
      <c r="P2" s="2">
        <v>4</v>
      </c>
      <c r="Q2" s="2">
        <v>5</v>
      </c>
    </row>
    <row r="3" spans="1:21" ht="32.25" customHeight="1" x14ac:dyDescent="0.25">
      <c r="A3" s="101" t="s">
        <v>90</v>
      </c>
      <c r="B3" s="43"/>
      <c r="C3" s="43"/>
      <c r="D3" s="43"/>
      <c r="E3" s="43"/>
      <c r="F3" s="43"/>
      <c r="G3" s="43"/>
      <c r="H3" s="43"/>
      <c r="I3" s="102"/>
      <c r="L3" s="2" t="s">
        <v>91</v>
      </c>
    </row>
    <row r="4" spans="1:21" ht="32.25" customHeight="1" x14ac:dyDescent="0.25">
      <c r="A4" s="120"/>
      <c r="B4" s="43"/>
      <c r="C4" s="43"/>
      <c r="D4" s="43"/>
      <c r="E4" s="43"/>
      <c r="F4" s="43"/>
      <c r="G4" s="43"/>
      <c r="H4" s="43"/>
      <c r="I4" s="102"/>
      <c r="L4" s="2" t="s">
        <v>92</v>
      </c>
    </row>
    <row r="5" spans="1:21" ht="32.25" customHeight="1" x14ac:dyDescent="0.25">
      <c r="A5" s="103"/>
      <c r="B5" s="90"/>
      <c r="C5" s="90"/>
      <c r="D5" s="90"/>
      <c r="E5" s="90"/>
      <c r="F5" s="90"/>
      <c r="G5" s="90"/>
      <c r="H5" s="90"/>
      <c r="I5" s="91"/>
      <c r="L5" s="2" t="s">
        <v>93</v>
      </c>
    </row>
    <row r="6" spans="1:21" ht="15.6" customHeight="1" x14ac:dyDescent="0.3">
      <c r="A6" s="89" t="s">
        <v>94</v>
      </c>
      <c r="B6" s="90"/>
      <c r="C6" s="90"/>
      <c r="D6" s="90"/>
      <c r="E6" s="90"/>
      <c r="F6" s="90"/>
      <c r="G6" s="90"/>
      <c r="H6" s="90"/>
      <c r="I6" s="91"/>
      <c r="L6" s="122" t="s">
        <v>95</v>
      </c>
      <c r="M6" s="43"/>
      <c r="N6" s="43"/>
      <c r="O6" s="43"/>
      <c r="P6" s="43"/>
      <c r="Q6" s="43"/>
    </row>
    <row r="7" spans="1:21" ht="18" customHeight="1" x14ac:dyDescent="0.25">
      <c r="A7" s="137" t="s">
        <v>96</v>
      </c>
      <c r="B7" s="91"/>
      <c r="C7" s="127" t="s">
        <v>97</v>
      </c>
      <c r="D7" s="91"/>
      <c r="E7" s="127" t="s">
        <v>98</v>
      </c>
      <c r="F7" s="91"/>
      <c r="G7" s="127" t="s">
        <v>99</v>
      </c>
      <c r="H7" s="90"/>
      <c r="I7" s="91"/>
      <c r="L7" s="43"/>
      <c r="M7" s="43"/>
      <c r="N7" s="43"/>
      <c r="O7" s="43"/>
      <c r="P7" s="43"/>
      <c r="Q7" s="43"/>
    </row>
    <row r="8" spans="1:21" ht="15.6" customHeight="1" x14ac:dyDescent="0.3">
      <c r="A8" s="89" t="s">
        <v>100</v>
      </c>
      <c r="B8" s="90"/>
      <c r="C8" s="90"/>
      <c r="D8" s="90"/>
      <c r="E8" s="90"/>
      <c r="F8" s="90"/>
      <c r="G8" s="90"/>
      <c r="H8" s="90"/>
      <c r="I8" s="91"/>
      <c r="L8" s="122" t="s">
        <v>101</v>
      </c>
      <c r="M8" s="43"/>
      <c r="N8" s="43"/>
      <c r="O8" s="43"/>
      <c r="P8" s="43"/>
      <c r="Q8" s="43"/>
    </row>
    <row r="9" spans="1:21" ht="22.5" customHeight="1" x14ac:dyDescent="0.25">
      <c r="A9" s="137" t="s">
        <v>102</v>
      </c>
      <c r="B9" s="43"/>
      <c r="C9" s="43"/>
      <c r="D9" s="43"/>
      <c r="E9" s="43"/>
      <c r="F9" s="43"/>
      <c r="G9" s="43"/>
      <c r="H9" s="43"/>
      <c r="I9" s="102"/>
      <c r="L9" s="43"/>
      <c r="M9" s="43"/>
      <c r="N9" s="43"/>
      <c r="O9" s="43"/>
      <c r="P9" s="43"/>
      <c r="Q9" s="43"/>
    </row>
    <row r="10" spans="1:21" ht="22.5" customHeight="1" x14ac:dyDescent="0.25">
      <c r="A10" s="120"/>
      <c r="B10" s="43"/>
      <c r="C10" s="43"/>
      <c r="D10" s="43"/>
      <c r="E10" s="43"/>
      <c r="F10" s="43"/>
      <c r="G10" s="43"/>
      <c r="H10" s="43"/>
      <c r="I10" s="102"/>
    </row>
    <row r="11" spans="1:21" ht="22.5" customHeight="1" x14ac:dyDescent="0.25">
      <c r="A11" s="103"/>
      <c r="B11" s="90"/>
      <c r="C11" s="90"/>
      <c r="D11" s="90"/>
      <c r="E11" s="90"/>
      <c r="F11" s="90"/>
      <c r="G11" s="90"/>
      <c r="H11" s="90"/>
      <c r="I11" s="91"/>
    </row>
    <row r="12" spans="1:21" ht="13.2" customHeight="1" x14ac:dyDescent="0.25">
      <c r="A12" s="2"/>
    </row>
    <row r="13" spans="1:21" ht="13.2" customHeight="1" x14ac:dyDescent="0.25">
      <c r="A13" s="2"/>
    </row>
    <row r="14" spans="1:21" ht="27.75" customHeight="1" x14ac:dyDescent="0.25">
      <c r="A14" s="55" t="s">
        <v>3</v>
      </c>
      <c r="B14" s="56"/>
      <c r="C14" s="56"/>
      <c r="D14" s="56"/>
      <c r="E14" s="56"/>
      <c r="F14" s="56"/>
      <c r="G14" s="56"/>
      <c r="H14" s="56"/>
      <c r="I14" s="56"/>
      <c r="J14" s="56"/>
      <c r="K14" s="56"/>
      <c r="L14" s="56"/>
      <c r="M14" s="56"/>
      <c r="N14" s="56"/>
      <c r="O14" s="56"/>
      <c r="P14" s="56"/>
      <c r="Q14" s="56"/>
      <c r="R14" s="56"/>
      <c r="S14" s="56"/>
      <c r="T14" s="56"/>
      <c r="U14" s="57"/>
    </row>
    <row r="15" spans="1:21" ht="39" customHeight="1" x14ac:dyDescent="0.25">
      <c r="A15" s="65" t="s">
        <v>4</v>
      </c>
      <c r="B15" s="43"/>
      <c r="C15" s="43"/>
      <c r="D15" s="43"/>
      <c r="E15" s="43"/>
      <c r="F15" s="43"/>
      <c r="G15" s="43"/>
      <c r="H15" s="43"/>
      <c r="I15" s="43"/>
      <c r="J15" s="43"/>
      <c r="K15" s="116" t="s">
        <v>5</v>
      </c>
      <c r="L15" s="65" t="s">
        <v>6</v>
      </c>
      <c r="M15" s="43"/>
      <c r="N15" s="43"/>
      <c r="O15" s="43"/>
      <c r="P15" s="43"/>
      <c r="Q15" s="43"/>
      <c r="R15" s="116" t="s">
        <v>7</v>
      </c>
      <c r="S15" s="64" t="s">
        <v>103</v>
      </c>
      <c r="T15" s="43"/>
      <c r="U15" s="43"/>
    </row>
    <row r="16" spans="1:21" ht="29.25" customHeight="1" x14ac:dyDescent="0.25">
      <c r="A16" s="123" t="s">
        <v>9</v>
      </c>
      <c r="B16" s="43"/>
      <c r="C16" s="124" t="s">
        <v>104</v>
      </c>
      <c r="D16" s="43"/>
      <c r="E16" s="124" t="s">
        <v>11</v>
      </c>
      <c r="F16" s="43"/>
      <c r="G16" s="124" t="s">
        <v>105</v>
      </c>
      <c r="H16" s="43"/>
      <c r="I16" s="123" t="s">
        <v>106</v>
      </c>
      <c r="J16" s="43"/>
      <c r="K16" s="43"/>
      <c r="L16" s="117" t="s">
        <v>107</v>
      </c>
      <c r="M16" s="43"/>
      <c r="N16" s="108" t="s">
        <v>108</v>
      </c>
      <c r="O16" s="43"/>
      <c r="P16" s="108" t="s">
        <v>109</v>
      </c>
      <c r="Q16" s="43"/>
      <c r="R16" s="43"/>
      <c r="S16" s="4" t="s">
        <v>110</v>
      </c>
      <c r="T16" s="4" t="s">
        <v>111</v>
      </c>
      <c r="U16" s="4" t="s">
        <v>112</v>
      </c>
    </row>
    <row r="17" spans="1:21" ht="29.25" customHeight="1" x14ac:dyDescent="0.25">
      <c r="A17" s="119"/>
      <c r="B17" s="43"/>
      <c r="C17" s="121"/>
      <c r="D17" s="43"/>
      <c r="E17" s="139"/>
      <c r="F17" s="43"/>
      <c r="G17" s="110"/>
      <c r="H17" s="43"/>
      <c r="I17" s="43"/>
      <c r="J17" s="43"/>
      <c r="K17" s="43"/>
      <c r="L17" s="43"/>
      <c r="M17" s="43"/>
      <c r="N17" s="43"/>
      <c r="O17" s="43"/>
      <c r="P17" s="43"/>
      <c r="Q17" s="43"/>
      <c r="R17" s="43"/>
      <c r="S17" s="130" t="s">
        <v>113</v>
      </c>
      <c r="T17" s="43"/>
      <c r="U17" s="43"/>
    </row>
    <row r="18" spans="1:21" ht="29.25" customHeight="1" x14ac:dyDescent="0.25">
      <c r="A18" s="43"/>
      <c r="B18" s="43"/>
      <c r="C18" s="43"/>
      <c r="D18" s="43"/>
      <c r="E18" s="43"/>
      <c r="F18" s="43"/>
      <c r="G18" s="43"/>
      <c r="H18" s="43"/>
      <c r="I18" s="43"/>
      <c r="J18" s="43"/>
      <c r="K18" s="43"/>
      <c r="L18" s="117" t="s">
        <v>20</v>
      </c>
      <c r="M18" s="43"/>
      <c r="N18" s="114" t="s">
        <v>114</v>
      </c>
      <c r="O18" s="43"/>
      <c r="P18" s="117" t="s">
        <v>22</v>
      </c>
      <c r="Q18" s="43"/>
      <c r="R18" s="43"/>
      <c r="S18" s="112" t="s">
        <v>115</v>
      </c>
      <c r="T18" s="43"/>
      <c r="U18" s="43"/>
    </row>
    <row r="19" spans="1:21" ht="29.25" customHeight="1" x14ac:dyDescent="0.25">
      <c r="A19" s="123" t="s">
        <v>116</v>
      </c>
      <c r="B19" s="43"/>
      <c r="C19" s="124" t="s">
        <v>117</v>
      </c>
      <c r="D19" s="43"/>
      <c r="E19" s="124" t="s">
        <v>11</v>
      </c>
      <c r="F19" s="43"/>
      <c r="G19" s="124" t="s">
        <v>118</v>
      </c>
      <c r="H19" s="43"/>
      <c r="I19" s="123" t="s">
        <v>119</v>
      </c>
      <c r="J19" s="43"/>
      <c r="K19" s="43"/>
      <c r="L19" s="43"/>
      <c r="M19" s="43"/>
      <c r="N19" s="43"/>
      <c r="O19" s="43"/>
      <c r="P19" s="43"/>
      <c r="Q19" s="43"/>
      <c r="R19" s="43"/>
      <c r="S19" s="43"/>
      <c r="T19" s="43"/>
      <c r="U19" s="43"/>
    </row>
    <row r="20" spans="1:21" ht="29.25" customHeight="1" x14ac:dyDescent="0.25">
      <c r="A20" s="119"/>
      <c r="B20" s="43"/>
      <c r="C20" s="121"/>
      <c r="D20" s="43"/>
      <c r="E20" s="121"/>
      <c r="F20" s="43"/>
      <c r="G20" s="110"/>
      <c r="H20" s="43"/>
      <c r="I20" s="43"/>
      <c r="J20" s="43"/>
      <c r="K20" s="43"/>
      <c r="L20" s="43"/>
      <c r="M20" s="43"/>
      <c r="N20" s="51" t="s">
        <v>120</v>
      </c>
      <c r="O20" s="43"/>
      <c r="P20" s="43"/>
      <c r="Q20" s="43"/>
      <c r="R20" s="43"/>
      <c r="S20" s="130" t="s">
        <v>121</v>
      </c>
      <c r="T20" s="43"/>
      <c r="U20" s="43"/>
    </row>
    <row r="21" spans="1:21" ht="29.25" customHeight="1" x14ac:dyDescent="0.25">
      <c r="A21" s="43"/>
      <c r="B21" s="43"/>
      <c r="C21" s="43"/>
      <c r="D21" s="43"/>
      <c r="E21" s="43"/>
      <c r="F21" s="43"/>
      <c r="G21" s="43"/>
      <c r="H21" s="43"/>
      <c r="I21" s="43"/>
      <c r="J21" s="43"/>
      <c r="K21" s="43"/>
      <c r="L21" s="43"/>
      <c r="M21" s="43"/>
      <c r="N21" s="43"/>
      <c r="O21" s="43"/>
      <c r="P21" s="43"/>
      <c r="Q21" s="43"/>
      <c r="R21" s="43"/>
      <c r="S21" s="43"/>
      <c r="T21" s="43"/>
      <c r="U21" s="43"/>
    </row>
    <row r="22" spans="1:21" ht="29.25" customHeight="1" x14ac:dyDescent="0.25">
      <c r="A22" s="123" t="s">
        <v>122</v>
      </c>
      <c r="B22" s="43"/>
      <c r="C22" s="124" t="s">
        <v>123</v>
      </c>
      <c r="D22" s="43"/>
      <c r="E22" s="124" t="s">
        <v>124</v>
      </c>
      <c r="F22" s="43"/>
      <c r="G22" s="124" t="s">
        <v>125</v>
      </c>
      <c r="H22" s="43"/>
      <c r="I22" s="123" t="s">
        <v>126</v>
      </c>
      <c r="J22" s="43"/>
      <c r="K22" s="43"/>
      <c r="L22" s="65" t="s">
        <v>127</v>
      </c>
      <c r="M22" s="43"/>
      <c r="N22" s="43"/>
      <c r="O22" s="43"/>
      <c r="P22" s="43"/>
      <c r="Q22" s="43"/>
      <c r="R22" s="43"/>
      <c r="S22" s="128" t="s">
        <v>128</v>
      </c>
      <c r="T22" s="43"/>
      <c r="U22" s="43"/>
    </row>
    <row r="23" spans="1:21" ht="29.25" customHeight="1" x14ac:dyDescent="0.25">
      <c r="A23" s="121"/>
      <c r="B23" s="43"/>
      <c r="C23" s="121"/>
      <c r="D23" s="43"/>
      <c r="E23" s="121"/>
      <c r="F23" s="43"/>
      <c r="G23" s="43"/>
      <c r="H23" s="43"/>
      <c r="I23" s="43"/>
      <c r="J23" s="43"/>
      <c r="K23" s="43"/>
      <c r="L23" s="25" t="s">
        <v>129</v>
      </c>
      <c r="M23" s="25" t="s">
        <v>130</v>
      </c>
      <c r="N23" s="25" t="s">
        <v>131</v>
      </c>
      <c r="O23" s="25" t="s">
        <v>132</v>
      </c>
      <c r="P23" s="25" t="s">
        <v>133</v>
      </c>
      <c r="Q23" s="25" t="s">
        <v>134</v>
      </c>
      <c r="R23" s="43"/>
      <c r="S23" s="43"/>
      <c r="T23" s="43"/>
      <c r="U23" s="43"/>
    </row>
    <row r="24" spans="1:21" ht="29.25" customHeight="1" x14ac:dyDescent="0.25">
      <c r="A24" s="43"/>
      <c r="B24" s="43"/>
      <c r="C24" s="43"/>
      <c r="D24" s="43"/>
      <c r="E24" s="43"/>
      <c r="F24" s="43"/>
      <c r="G24" s="43"/>
      <c r="H24" s="43"/>
      <c r="I24" s="43"/>
      <c r="J24" s="43"/>
      <c r="K24" s="43"/>
      <c r="L24" s="26" t="s">
        <v>135</v>
      </c>
      <c r="M24" s="26" t="s">
        <v>135</v>
      </c>
      <c r="N24" s="26" t="s">
        <v>135</v>
      </c>
      <c r="O24" s="26" t="s">
        <v>135</v>
      </c>
      <c r="P24" s="26" t="s">
        <v>135</v>
      </c>
      <c r="Q24" s="26" t="s">
        <v>135</v>
      </c>
      <c r="R24" s="43"/>
      <c r="S24" s="43"/>
      <c r="T24" s="43"/>
      <c r="U24" s="43"/>
    </row>
    <row r="27" spans="1:21" ht="13.2" customHeight="1" x14ac:dyDescent="0.25">
      <c r="A27" s="2" t="s">
        <v>25</v>
      </c>
    </row>
    <row r="29" spans="1:21" ht="27.75" customHeight="1" x14ac:dyDescent="0.25">
      <c r="A29" s="55" t="s">
        <v>26</v>
      </c>
      <c r="B29" s="56"/>
      <c r="C29" s="56"/>
      <c r="D29" s="56"/>
      <c r="E29" s="56"/>
      <c r="F29" s="56"/>
      <c r="G29" s="56"/>
      <c r="H29" s="56"/>
      <c r="I29" s="56"/>
      <c r="J29" s="56"/>
      <c r="K29" s="56"/>
      <c r="L29" s="56"/>
      <c r="M29" s="56"/>
      <c r="N29" s="56"/>
      <c r="O29" s="56"/>
      <c r="P29" s="56"/>
      <c r="Q29" s="57"/>
    </row>
    <row r="30" spans="1:21" ht="39" customHeight="1" x14ac:dyDescent="0.25">
      <c r="A30" s="65" t="s">
        <v>136</v>
      </c>
      <c r="B30" s="43"/>
      <c r="C30" s="43"/>
      <c r="D30" s="43"/>
      <c r="E30" s="43"/>
      <c r="F30" s="65" t="s">
        <v>137</v>
      </c>
      <c r="G30" s="43"/>
      <c r="H30" s="43"/>
      <c r="I30" s="43"/>
      <c r="J30" s="43"/>
      <c r="K30" s="135" t="s">
        <v>28</v>
      </c>
      <c r="L30" s="65" t="s">
        <v>138</v>
      </c>
      <c r="M30" s="43"/>
      <c r="N30" s="43"/>
      <c r="O30" s="43"/>
      <c r="P30" s="43"/>
      <c r="Q30" s="43"/>
    </row>
    <row r="31" spans="1:21" ht="18.75" customHeight="1" x14ac:dyDescent="0.25">
      <c r="A31" s="9" t="s">
        <v>139</v>
      </c>
      <c r="B31" s="129" t="s">
        <v>140</v>
      </c>
      <c r="C31" s="43"/>
      <c r="D31" s="43"/>
      <c r="E31" s="43"/>
      <c r="F31" s="112" t="s">
        <v>141</v>
      </c>
      <c r="G31" s="110" t="s">
        <v>142</v>
      </c>
      <c r="H31" s="43"/>
      <c r="I31" s="110" t="s">
        <v>143</v>
      </c>
      <c r="J31" s="43"/>
      <c r="K31" s="43"/>
      <c r="L31" s="96" t="s">
        <v>144</v>
      </c>
      <c r="M31" s="43"/>
      <c r="N31" s="43"/>
      <c r="O31" s="43"/>
      <c r="P31" s="43"/>
      <c r="Q31" s="131" t="s">
        <v>145</v>
      </c>
    </row>
    <row r="32" spans="1:21" ht="18.75" customHeight="1" x14ac:dyDescent="0.25">
      <c r="A32" s="14" t="s">
        <v>146</v>
      </c>
      <c r="B32" s="14" t="s">
        <v>146</v>
      </c>
      <c r="C32" s="14" t="s">
        <v>146</v>
      </c>
      <c r="D32" s="14" t="s">
        <v>146</v>
      </c>
      <c r="E32" s="14" t="s">
        <v>146</v>
      </c>
      <c r="F32" s="43"/>
      <c r="G32" s="110"/>
      <c r="H32" s="43"/>
      <c r="I32" s="110"/>
      <c r="J32" s="43"/>
      <c r="K32" s="43"/>
      <c r="L32" s="43"/>
      <c r="M32" s="43"/>
      <c r="N32" s="43"/>
      <c r="O32" s="43"/>
      <c r="P32" s="43"/>
      <c r="Q32" s="43"/>
    </row>
    <row r="33" spans="1:17" ht="18.75" customHeight="1" x14ac:dyDescent="0.25">
      <c r="A33" s="14"/>
      <c r="B33" s="14"/>
      <c r="C33" s="14"/>
      <c r="D33" s="14"/>
      <c r="E33" s="14"/>
      <c r="F33" s="112" t="s">
        <v>147</v>
      </c>
      <c r="G33" s="110" t="s">
        <v>148</v>
      </c>
      <c r="H33" s="43"/>
      <c r="I33" s="110" t="s">
        <v>148</v>
      </c>
      <c r="J33" s="43"/>
      <c r="K33" s="43"/>
      <c r="L33" s="96" t="s">
        <v>149</v>
      </c>
      <c r="M33" s="43"/>
      <c r="N33" s="43"/>
      <c r="O33" s="43"/>
      <c r="P33" s="43"/>
      <c r="Q33" s="43"/>
    </row>
    <row r="34" spans="1:17" ht="18.75" customHeight="1" x14ac:dyDescent="0.25">
      <c r="A34" s="9" t="s">
        <v>150</v>
      </c>
      <c r="B34" s="129" t="s">
        <v>151</v>
      </c>
      <c r="C34" s="43"/>
      <c r="D34" s="43"/>
      <c r="E34" s="43"/>
      <c r="F34" s="43"/>
      <c r="G34" s="27" t="s">
        <v>152</v>
      </c>
      <c r="H34" s="27" t="s">
        <v>146</v>
      </c>
      <c r="I34" s="27" t="s">
        <v>152</v>
      </c>
      <c r="J34" s="27" t="s">
        <v>146</v>
      </c>
      <c r="K34" s="43"/>
      <c r="L34" s="43"/>
      <c r="M34" s="43"/>
      <c r="N34" s="43"/>
      <c r="O34" s="43"/>
      <c r="P34" s="43"/>
      <c r="Q34" s="43"/>
    </row>
    <row r="35" spans="1:17" ht="18.75" customHeight="1" x14ac:dyDescent="0.25">
      <c r="A35" s="14" t="s">
        <v>146</v>
      </c>
      <c r="B35" s="14" t="s">
        <v>146</v>
      </c>
      <c r="C35" s="14" t="s">
        <v>146</v>
      </c>
      <c r="D35" s="14" t="s">
        <v>146</v>
      </c>
      <c r="E35" s="14" t="s">
        <v>146</v>
      </c>
      <c r="F35" s="112" t="s">
        <v>153</v>
      </c>
      <c r="G35" s="110" t="s">
        <v>148</v>
      </c>
      <c r="H35" s="43"/>
      <c r="I35" s="110" t="s">
        <v>148</v>
      </c>
      <c r="J35" s="43"/>
      <c r="K35" s="43"/>
      <c r="L35" s="65" t="s">
        <v>154</v>
      </c>
      <c r="M35" s="43"/>
      <c r="N35" s="43"/>
      <c r="O35" s="43"/>
      <c r="P35" s="43"/>
      <c r="Q35" s="43"/>
    </row>
    <row r="36" spans="1:17" ht="18.75" customHeight="1" x14ac:dyDescent="0.25">
      <c r="A36" s="14"/>
      <c r="B36" s="14"/>
      <c r="C36" s="14"/>
      <c r="D36" s="14"/>
      <c r="E36" s="14"/>
      <c r="F36" s="43"/>
      <c r="G36" s="27" t="s">
        <v>152</v>
      </c>
      <c r="H36" s="27" t="s">
        <v>146</v>
      </c>
      <c r="I36" s="27" t="s">
        <v>152</v>
      </c>
      <c r="J36" s="27" t="s">
        <v>146</v>
      </c>
      <c r="K36" s="43"/>
      <c r="L36" s="43"/>
      <c r="M36" s="43"/>
      <c r="N36" s="43"/>
      <c r="O36" s="43"/>
      <c r="P36" s="43"/>
      <c r="Q36" s="43"/>
    </row>
    <row r="37" spans="1:17" ht="18.75" customHeight="1" x14ac:dyDescent="0.25">
      <c r="A37" s="9" t="s">
        <v>155</v>
      </c>
      <c r="B37" s="129" t="s">
        <v>156</v>
      </c>
      <c r="C37" s="43"/>
      <c r="D37" s="43"/>
      <c r="E37" s="43"/>
      <c r="F37" s="112" t="s">
        <v>157</v>
      </c>
      <c r="G37" s="110" t="s">
        <v>148</v>
      </c>
      <c r="H37" s="43"/>
      <c r="I37" s="110" t="s">
        <v>148</v>
      </c>
      <c r="J37" s="43"/>
      <c r="K37" s="43"/>
      <c r="L37" s="43"/>
      <c r="M37" s="43"/>
      <c r="N37" s="43"/>
      <c r="O37" s="43"/>
      <c r="P37" s="43"/>
      <c r="Q37" s="43"/>
    </row>
    <row r="38" spans="1:17" ht="18.75" customHeight="1" x14ac:dyDescent="0.25">
      <c r="A38" s="14" t="s">
        <v>146</v>
      </c>
      <c r="B38" s="14" t="s">
        <v>146</v>
      </c>
      <c r="C38" s="14" t="s">
        <v>146</v>
      </c>
      <c r="D38" s="14" t="s">
        <v>146</v>
      </c>
      <c r="E38" s="14" t="s">
        <v>146</v>
      </c>
      <c r="F38" s="43"/>
      <c r="G38" s="27" t="s">
        <v>152</v>
      </c>
      <c r="H38" s="27" t="s">
        <v>146</v>
      </c>
      <c r="I38" s="27" t="s">
        <v>152</v>
      </c>
      <c r="J38" s="27" t="s">
        <v>146</v>
      </c>
      <c r="K38" s="43"/>
      <c r="L38" s="115" t="s">
        <v>158</v>
      </c>
      <c r="M38" s="43"/>
      <c r="N38" s="132" t="s">
        <v>159</v>
      </c>
      <c r="O38" s="43"/>
      <c r="P38" s="43"/>
      <c r="Q38" s="43"/>
    </row>
    <row r="39" spans="1:17" ht="18.75" customHeight="1" x14ac:dyDescent="0.25">
      <c r="A39" s="14"/>
      <c r="B39" s="14"/>
      <c r="C39" s="14"/>
      <c r="D39" s="14"/>
      <c r="E39" s="14"/>
      <c r="F39" s="112" t="s">
        <v>160</v>
      </c>
      <c r="G39" s="110" t="s">
        <v>148</v>
      </c>
      <c r="H39" s="43"/>
      <c r="I39" s="110" t="s">
        <v>148</v>
      </c>
      <c r="J39" s="43"/>
      <c r="K39" s="43"/>
      <c r="L39" s="43"/>
      <c r="M39" s="43"/>
      <c r="N39" s="43"/>
      <c r="O39" s="43"/>
      <c r="P39" s="43"/>
      <c r="Q39" s="43"/>
    </row>
    <row r="40" spans="1:17" ht="18.75" customHeight="1" x14ac:dyDescent="0.25">
      <c r="A40" s="130" t="s">
        <v>161</v>
      </c>
      <c r="B40" s="14" t="s">
        <v>162</v>
      </c>
      <c r="C40" s="14" t="s">
        <v>163</v>
      </c>
      <c r="D40" s="14" t="s">
        <v>164</v>
      </c>
      <c r="E40" s="14" t="s">
        <v>165</v>
      </c>
      <c r="F40" s="43"/>
      <c r="G40" s="27" t="s">
        <v>152</v>
      </c>
      <c r="H40" s="27" t="s">
        <v>146</v>
      </c>
      <c r="I40" s="27" t="s">
        <v>152</v>
      </c>
      <c r="J40" s="27" t="s">
        <v>146</v>
      </c>
      <c r="K40" s="43"/>
      <c r="L40" s="43"/>
      <c r="M40" s="43"/>
      <c r="N40" s="28" t="s">
        <v>166</v>
      </c>
      <c r="O40" s="29" t="s">
        <v>167</v>
      </c>
      <c r="P40" s="30" t="s">
        <v>168</v>
      </c>
      <c r="Q40" s="125" t="s">
        <v>169</v>
      </c>
    </row>
    <row r="41" spans="1:17" ht="19.5" customHeight="1" x14ac:dyDescent="0.25">
      <c r="A41" s="43"/>
      <c r="B41" s="112" t="s">
        <v>170</v>
      </c>
      <c r="C41" s="112" t="s">
        <v>171</v>
      </c>
      <c r="D41" s="112" t="s">
        <v>172</v>
      </c>
      <c r="E41" s="112" t="s">
        <v>173</v>
      </c>
      <c r="F41" s="12" t="s">
        <v>174</v>
      </c>
      <c r="G41" s="112" t="s">
        <v>175</v>
      </c>
      <c r="H41" s="43"/>
      <c r="I41" s="112" t="s">
        <v>176</v>
      </c>
      <c r="J41" s="43"/>
      <c r="K41" s="43"/>
      <c r="L41" s="43"/>
      <c r="M41" s="43"/>
      <c r="N41" s="29" t="s">
        <v>167</v>
      </c>
      <c r="O41" s="29" t="s">
        <v>167</v>
      </c>
      <c r="P41" s="30" t="s">
        <v>168</v>
      </c>
      <c r="Q41" s="43"/>
    </row>
    <row r="42" spans="1:17" ht="27" customHeight="1" x14ac:dyDescent="0.25">
      <c r="A42" s="14"/>
      <c r="B42" s="43"/>
      <c r="C42" s="43"/>
      <c r="D42" s="43"/>
      <c r="E42" s="43"/>
      <c r="F42" s="107" t="s">
        <v>177</v>
      </c>
      <c r="G42" s="43"/>
      <c r="H42" s="43"/>
      <c r="I42" s="43"/>
      <c r="J42" s="43"/>
      <c r="K42" s="11"/>
      <c r="L42" s="43"/>
      <c r="M42" s="43"/>
      <c r="N42" s="138" t="s">
        <v>178</v>
      </c>
      <c r="O42" s="43"/>
      <c r="P42" s="43"/>
      <c r="Q42" s="43"/>
    </row>
    <row r="43" spans="1:17" ht="19.5" customHeight="1" x14ac:dyDescent="0.25">
      <c r="A43" s="14"/>
      <c r="B43" s="12"/>
      <c r="C43" s="12"/>
      <c r="D43" s="12"/>
      <c r="E43" s="12"/>
      <c r="F43" s="13"/>
      <c r="G43" s="13"/>
      <c r="H43" s="13"/>
      <c r="I43" s="13"/>
      <c r="J43" s="13"/>
      <c r="K43" s="11"/>
    </row>
    <row r="44" spans="1:17" ht="19.5" customHeight="1" x14ac:dyDescent="0.25">
      <c r="A44" s="14"/>
      <c r="B44" s="12"/>
      <c r="C44" s="12"/>
      <c r="D44" s="12"/>
      <c r="E44" s="12"/>
      <c r="F44" s="13"/>
      <c r="G44" s="13"/>
      <c r="H44" s="13"/>
      <c r="I44" s="13"/>
      <c r="J44" s="13"/>
      <c r="K44" s="11"/>
    </row>
    <row r="45" spans="1:17" ht="27.75" customHeight="1" x14ac:dyDescent="0.25">
      <c r="A45" s="55" t="s">
        <v>53</v>
      </c>
      <c r="B45" s="56"/>
      <c r="C45" s="56"/>
      <c r="D45" s="56"/>
      <c r="E45" s="56"/>
      <c r="F45" s="56"/>
      <c r="G45" s="56"/>
      <c r="H45" s="56"/>
      <c r="I45" s="56"/>
      <c r="J45" s="56"/>
      <c r="K45" s="56"/>
      <c r="L45" s="56"/>
      <c r="M45" s="56"/>
      <c r="N45" s="56"/>
      <c r="O45" s="56"/>
      <c r="P45" s="56"/>
      <c r="Q45" s="57"/>
    </row>
    <row r="46" spans="1:17" ht="40.5" customHeight="1" x14ac:dyDescent="0.25">
      <c r="A46" s="65" t="s">
        <v>54</v>
      </c>
      <c r="B46" s="43"/>
      <c r="C46" s="43"/>
      <c r="D46" s="43"/>
      <c r="E46" s="43"/>
      <c r="F46" s="116" t="s">
        <v>55</v>
      </c>
      <c r="G46" s="65" t="s">
        <v>56</v>
      </c>
      <c r="H46" s="43"/>
      <c r="I46" s="43"/>
      <c r="J46" s="43"/>
      <c r="K46" s="43"/>
      <c r="L46" s="116" t="s">
        <v>179</v>
      </c>
      <c r="M46" s="65" t="s">
        <v>180</v>
      </c>
      <c r="N46" s="43"/>
      <c r="O46" s="43"/>
      <c r="P46" s="43"/>
      <c r="Q46" s="43"/>
    </row>
    <row r="47" spans="1:17" ht="19.5" customHeight="1" x14ac:dyDescent="0.25">
      <c r="A47" s="112" t="s">
        <v>57</v>
      </c>
      <c r="B47" s="125" t="s">
        <v>181</v>
      </c>
      <c r="C47" s="43"/>
      <c r="D47" s="43"/>
      <c r="E47" s="43"/>
      <c r="F47" s="43"/>
      <c r="G47" s="113" t="s">
        <v>182</v>
      </c>
      <c r="H47" s="43"/>
      <c r="I47" s="43"/>
      <c r="J47" s="43"/>
      <c r="K47" s="43"/>
      <c r="L47" s="43"/>
      <c r="M47" s="113" t="s">
        <v>183</v>
      </c>
      <c r="N47" s="43"/>
      <c r="O47" s="43"/>
      <c r="P47" s="43"/>
      <c r="Q47" s="43"/>
    </row>
    <row r="48" spans="1:17" ht="15.75" customHeight="1" x14ac:dyDescent="0.25">
      <c r="A48" s="43"/>
      <c r="B48" s="43"/>
      <c r="C48" s="43"/>
      <c r="D48" s="43"/>
      <c r="E48" s="43"/>
      <c r="F48" s="43"/>
      <c r="G48" s="43"/>
      <c r="H48" s="43"/>
      <c r="I48" s="43"/>
      <c r="J48" s="43"/>
      <c r="K48" s="43"/>
      <c r="L48" s="43"/>
      <c r="M48" s="43"/>
      <c r="N48" s="43"/>
      <c r="O48" s="43"/>
      <c r="P48" s="43"/>
      <c r="Q48" s="43"/>
    </row>
    <row r="49" spans="1:17" ht="13.2" customHeight="1" x14ac:dyDescent="0.25">
      <c r="A49" s="43"/>
      <c r="B49" s="43"/>
      <c r="C49" s="43"/>
      <c r="D49" s="43"/>
      <c r="E49" s="43"/>
      <c r="F49" s="43"/>
      <c r="G49" s="96" t="s">
        <v>184</v>
      </c>
      <c r="H49" s="43"/>
      <c r="I49" s="43"/>
      <c r="J49" s="43"/>
      <c r="K49" s="43"/>
      <c r="L49" s="43"/>
      <c r="M49" s="12" t="s">
        <v>185</v>
      </c>
      <c r="N49" s="12"/>
      <c r="O49" s="110" t="s">
        <v>186</v>
      </c>
      <c r="P49" s="43"/>
      <c r="Q49" s="43"/>
    </row>
    <row r="50" spans="1:17" ht="13.2" customHeight="1" x14ac:dyDescent="0.25">
      <c r="A50" s="118" t="s">
        <v>60</v>
      </c>
      <c r="B50" s="118" t="s">
        <v>187</v>
      </c>
      <c r="C50" s="118" t="s">
        <v>188</v>
      </c>
      <c r="D50" s="118" t="s">
        <v>189</v>
      </c>
      <c r="E50" s="118" t="s">
        <v>190</v>
      </c>
      <c r="F50" s="43"/>
      <c r="G50" s="43"/>
      <c r="H50" s="43"/>
      <c r="I50" s="43"/>
      <c r="J50" s="43"/>
      <c r="K50" s="43"/>
      <c r="L50" s="43"/>
      <c r="M50" s="12" t="s">
        <v>191</v>
      </c>
      <c r="N50" s="12"/>
      <c r="O50" s="14" t="s">
        <v>60</v>
      </c>
      <c r="P50" s="14" t="s">
        <v>192</v>
      </c>
      <c r="Q50" s="14" t="s">
        <v>193</v>
      </c>
    </row>
    <row r="51" spans="1:17" ht="13.2" customHeight="1" x14ac:dyDescent="0.25">
      <c r="A51" s="43"/>
      <c r="B51" s="43"/>
      <c r="C51" s="43"/>
      <c r="D51" s="43"/>
      <c r="E51" s="43"/>
      <c r="F51" s="43"/>
      <c r="G51" s="107" t="s">
        <v>194</v>
      </c>
      <c r="H51" s="107" t="s">
        <v>195</v>
      </c>
      <c r="I51" s="107" t="s">
        <v>196</v>
      </c>
      <c r="J51" s="107" t="s">
        <v>197</v>
      </c>
      <c r="K51" s="107" t="s">
        <v>198</v>
      </c>
      <c r="L51" s="43"/>
      <c r="N51" s="12"/>
      <c r="O51" s="110" t="str">
        <f>A52</f>
        <v>1.</v>
      </c>
      <c r="P51" s="110"/>
      <c r="Q51" s="110"/>
    </row>
    <row r="52" spans="1:17" ht="13.2" customHeight="1" x14ac:dyDescent="0.25">
      <c r="A52" s="126" t="s">
        <v>199</v>
      </c>
      <c r="B52" s="112" t="s">
        <v>200</v>
      </c>
      <c r="C52" s="115" t="s">
        <v>201</v>
      </c>
      <c r="D52" s="82" t="s">
        <v>202</v>
      </c>
      <c r="E52" s="125" t="s">
        <v>203</v>
      </c>
      <c r="F52" s="43"/>
      <c r="G52" s="43"/>
      <c r="H52" s="43"/>
      <c r="I52" s="43"/>
      <c r="J52" s="43"/>
      <c r="K52" s="43"/>
      <c r="L52" s="43"/>
      <c r="M52" s="12" t="s">
        <v>204</v>
      </c>
      <c r="N52" s="12"/>
      <c r="O52" s="43"/>
      <c r="P52" s="43"/>
      <c r="Q52" s="43"/>
    </row>
    <row r="53" spans="1:17" ht="13.2" customHeight="1" x14ac:dyDescent="0.25">
      <c r="A53" s="43"/>
      <c r="B53" s="43"/>
      <c r="C53" s="43"/>
      <c r="D53" s="43"/>
      <c r="E53" s="43"/>
      <c r="F53" s="43"/>
      <c r="G53" s="43"/>
      <c r="H53" s="43"/>
      <c r="I53" s="43"/>
      <c r="J53" s="43"/>
      <c r="K53" s="43"/>
      <c r="L53" s="43"/>
      <c r="N53" s="12"/>
      <c r="O53" s="110" t="str">
        <f>A55</f>
        <v>2.</v>
      </c>
      <c r="P53" s="110"/>
      <c r="Q53" s="110"/>
    </row>
    <row r="54" spans="1:17" ht="13.2" customHeight="1" x14ac:dyDescent="0.25">
      <c r="A54" s="43"/>
      <c r="B54" s="43"/>
      <c r="C54" s="43"/>
      <c r="D54" s="43"/>
      <c r="E54" s="43"/>
      <c r="F54" s="43"/>
      <c r="G54" s="107" t="s">
        <v>205</v>
      </c>
      <c r="H54" s="107" t="s">
        <v>206</v>
      </c>
      <c r="I54" s="107" t="s">
        <v>207</v>
      </c>
      <c r="J54" s="107" t="s">
        <v>208</v>
      </c>
      <c r="K54" s="107" t="s">
        <v>209</v>
      </c>
      <c r="L54" s="43"/>
      <c r="M54" s="12" t="s">
        <v>210</v>
      </c>
      <c r="N54" s="12"/>
      <c r="O54" s="43"/>
      <c r="P54" s="43"/>
      <c r="Q54" s="43"/>
    </row>
    <row r="55" spans="1:17" ht="13.2" customHeight="1" x14ac:dyDescent="0.25">
      <c r="A55" s="126" t="s">
        <v>211</v>
      </c>
      <c r="B55" s="112" t="s">
        <v>200</v>
      </c>
      <c r="C55" s="115" t="s">
        <v>212</v>
      </c>
      <c r="D55" s="82" t="s">
        <v>213</v>
      </c>
      <c r="E55" s="125" t="s">
        <v>214</v>
      </c>
      <c r="F55" s="43"/>
      <c r="G55" s="43"/>
      <c r="H55" s="43"/>
      <c r="I55" s="43"/>
      <c r="J55" s="43"/>
      <c r="K55" s="43"/>
      <c r="L55" s="43"/>
      <c r="N55" s="12"/>
      <c r="O55" s="110" t="str">
        <f>A58</f>
        <v>3.</v>
      </c>
      <c r="P55" s="110"/>
      <c r="Q55" s="110"/>
    </row>
    <row r="56" spans="1:17" ht="13.2" customHeight="1" x14ac:dyDescent="0.25">
      <c r="A56" s="43"/>
      <c r="B56" s="43"/>
      <c r="C56" s="43"/>
      <c r="D56" s="43"/>
      <c r="E56" s="43"/>
      <c r="F56" s="43"/>
      <c r="G56" s="43"/>
      <c r="H56" s="43"/>
      <c r="I56" s="43"/>
      <c r="J56" s="43"/>
      <c r="K56" s="43"/>
      <c r="L56" s="43"/>
      <c r="M56" s="12" t="s">
        <v>215</v>
      </c>
      <c r="O56" s="43"/>
      <c r="P56" s="43"/>
      <c r="Q56" s="43"/>
    </row>
    <row r="57" spans="1:17" ht="13.2" customHeight="1" x14ac:dyDescent="0.25">
      <c r="A57" s="43"/>
      <c r="B57" s="43"/>
      <c r="C57" s="43"/>
      <c r="D57" s="43"/>
      <c r="E57" s="43"/>
      <c r="F57" s="43"/>
      <c r="G57" s="107" t="s">
        <v>216</v>
      </c>
      <c r="H57" s="107" t="s">
        <v>217</v>
      </c>
      <c r="I57" s="107" t="s">
        <v>218</v>
      </c>
      <c r="J57" s="107" t="s">
        <v>219</v>
      </c>
      <c r="K57" s="107" t="s">
        <v>220</v>
      </c>
      <c r="L57" s="43"/>
      <c r="O57" s="122" t="str">
        <f>A61</f>
        <v>4.</v>
      </c>
      <c r="P57" s="43"/>
      <c r="Q57" s="43"/>
    </row>
    <row r="58" spans="1:17" ht="13.2" customHeight="1" x14ac:dyDescent="0.25">
      <c r="A58" s="126" t="s">
        <v>221</v>
      </c>
      <c r="B58" s="112" t="s">
        <v>200</v>
      </c>
      <c r="C58" s="115" t="s">
        <v>201</v>
      </c>
      <c r="D58" s="82" t="s">
        <v>222</v>
      </c>
      <c r="E58" s="125" t="s">
        <v>223</v>
      </c>
      <c r="F58" s="43"/>
      <c r="G58" s="43"/>
      <c r="H58" s="43"/>
      <c r="I58" s="43"/>
      <c r="J58" s="43"/>
      <c r="K58" s="43"/>
      <c r="L58" s="43"/>
      <c r="M58" s="12" t="s">
        <v>224</v>
      </c>
      <c r="O58" s="43"/>
      <c r="P58" s="43"/>
      <c r="Q58" s="43"/>
    </row>
    <row r="59" spans="1:17" ht="13.2" customHeight="1" x14ac:dyDescent="0.25">
      <c r="A59" s="43"/>
      <c r="B59" s="43"/>
      <c r="C59" s="43"/>
      <c r="D59" s="43"/>
      <c r="E59" s="43"/>
      <c r="F59" s="43"/>
      <c r="G59" s="43"/>
      <c r="H59" s="43"/>
      <c r="I59" s="43"/>
      <c r="J59" s="43"/>
      <c r="K59" s="43"/>
      <c r="L59" s="43"/>
      <c r="O59" s="113" t="s">
        <v>225</v>
      </c>
      <c r="P59" s="43"/>
      <c r="Q59" s="43"/>
    </row>
    <row r="60" spans="1:17" ht="13.2" customHeight="1" x14ac:dyDescent="0.25">
      <c r="A60" s="43"/>
      <c r="B60" s="43"/>
      <c r="C60" s="43"/>
      <c r="D60" s="43"/>
      <c r="E60" s="43"/>
      <c r="F60" s="43"/>
      <c r="G60" s="107" t="s">
        <v>226</v>
      </c>
      <c r="H60" s="107" t="s">
        <v>227</v>
      </c>
      <c r="I60" s="107" t="s">
        <v>228</v>
      </c>
      <c r="J60" s="107" t="s">
        <v>229</v>
      </c>
      <c r="K60" s="107" t="s">
        <v>230</v>
      </c>
      <c r="L60" s="43"/>
      <c r="M60" s="12" t="s">
        <v>231</v>
      </c>
      <c r="O60" s="43"/>
      <c r="P60" s="43"/>
      <c r="Q60" s="43"/>
    </row>
    <row r="61" spans="1:17" ht="13.2" customHeight="1" x14ac:dyDescent="0.25">
      <c r="A61" s="126" t="s">
        <v>232</v>
      </c>
      <c r="B61" s="112" t="s">
        <v>200</v>
      </c>
      <c r="C61" s="115" t="s">
        <v>233</v>
      </c>
      <c r="D61" s="82" t="s">
        <v>234</v>
      </c>
      <c r="E61" s="125" t="s">
        <v>235</v>
      </c>
      <c r="F61" s="43"/>
      <c r="G61" s="43"/>
      <c r="H61" s="43"/>
      <c r="I61" s="43"/>
      <c r="J61" s="43"/>
      <c r="K61" s="43"/>
      <c r="L61" s="43"/>
      <c r="O61" s="133" t="s">
        <v>236</v>
      </c>
      <c r="P61" s="43"/>
      <c r="Q61" s="43"/>
    </row>
    <row r="62" spans="1:17" ht="13.2" customHeight="1" x14ac:dyDescent="0.25">
      <c r="A62" s="43"/>
      <c r="B62" s="43"/>
      <c r="C62" s="43"/>
      <c r="D62" s="43"/>
      <c r="E62" s="43"/>
      <c r="F62" s="43"/>
      <c r="G62" s="43"/>
      <c r="H62" s="43"/>
      <c r="I62" s="43"/>
      <c r="J62" s="43"/>
      <c r="K62" s="43"/>
      <c r="L62" s="43"/>
      <c r="M62" s="12" t="s">
        <v>237</v>
      </c>
      <c r="O62" s="43"/>
      <c r="P62" s="43"/>
      <c r="Q62" s="43"/>
    </row>
    <row r="63" spans="1:17" ht="13.2" customHeight="1" x14ac:dyDescent="0.25">
      <c r="A63" s="43"/>
      <c r="B63" s="43"/>
      <c r="C63" s="43"/>
      <c r="D63" s="43"/>
      <c r="E63" s="43"/>
      <c r="F63" s="43"/>
      <c r="G63" s="112"/>
      <c r="H63" s="43"/>
      <c r="I63" s="43"/>
      <c r="J63" s="43"/>
      <c r="K63" s="43"/>
      <c r="L63" s="43"/>
    </row>
    <row r="64" spans="1:17" ht="13.2" customHeight="1" x14ac:dyDescent="0.25">
      <c r="A64" s="14"/>
      <c r="B64" s="14"/>
      <c r="C64" s="14"/>
      <c r="D64" s="14"/>
      <c r="E64" s="14"/>
      <c r="F64" s="43"/>
      <c r="G64" s="12"/>
      <c r="H64" s="12"/>
      <c r="I64" s="14"/>
      <c r="J64" s="14"/>
      <c r="K64" s="14"/>
      <c r="L64" s="43"/>
    </row>
    <row r="65" spans="1:15" ht="13.2" customHeight="1" x14ac:dyDescent="0.25">
      <c r="A65" s="14"/>
      <c r="B65" s="14"/>
      <c r="C65" s="14"/>
      <c r="D65" s="14"/>
      <c r="E65" s="14"/>
      <c r="G65" s="12"/>
      <c r="H65" s="12"/>
      <c r="I65" s="14"/>
      <c r="J65" s="14"/>
      <c r="K65" s="14"/>
    </row>
    <row r="66" spans="1:15" ht="27.75" customHeight="1" x14ac:dyDescent="0.25">
      <c r="A66" s="88" t="s">
        <v>238</v>
      </c>
      <c r="B66" s="56"/>
      <c r="C66" s="56"/>
      <c r="D66" s="56"/>
      <c r="E66" s="56"/>
      <c r="F66" s="56"/>
      <c r="G66" s="56"/>
      <c r="H66" s="56"/>
      <c r="I66" s="56"/>
      <c r="J66" s="56"/>
      <c r="K66" s="56"/>
      <c r="L66" s="56"/>
      <c r="M66" s="56"/>
      <c r="N66" s="56"/>
      <c r="O66" s="21"/>
    </row>
    <row r="67" spans="1:15" ht="36" customHeight="1" x14ac:dyDescent="0.25">
      <c r="A67" s="65" t="s">
        <v>66</v>
      </c>
      <c r="B67" s="43"/>
      <c r="C67" s="43"/>
      <c r="D67" s="43"/>
      <c r="E67" s="43"/>
      <c r="F67" s="43"/>
      <c r="G67" s="43"/>
      <c r="H67" s="43"/>
      <c r="I67" s="43"/>
      <c r="J67" s="43"/>
      <c r="K67" s="43"/>
      <c r="L67" s="43"/>
      <c r="M67" s="43"/>
      <c r="N67" s="43"/>
    </row>
    <row r="81" spans="1:16" ht="30" customHeight="1" x14ac:dyDescent="0.25">
      <c r="A81" s="130" t="s">
        <v>239</v>
      </c>
      <c r="B81" s="43"/>
      <c r="C81" s="43"/>
      <c r="D81" s="43"/>
      <c r="E81" s="43"/>
      <c r="F81" s="43"/>
      <c r="G81" s="43"/>
      <c r="H81" s="43"/>
      <c r="I81" s="43"/>
      <c r="J81" s="43"/>
      <c r="K81" s="43"/>
      <c r="L81" s="43"/>
      <c r="M81" s="43"/>
      <c r="N81" s="43"/>
    </row>
    <row r="82" spans="1:16" ht="13.2" customHeight="1" x14ac:dyDescent="0.25">
      <c r="A82" s="122" t="s">
        <v>76</v>
      </c>
      <c r="B82" s="43"/>
      <c r="C82" s="122" t="s">
        <v>82</v>
      </c>
      <c r="D82" s="43"/>
      <c r="E82" s="122" t="s">
        <v>83</v>
      </c>
      <c r="F82" s="43"/>
      <c r="G82" s="122" t="s">
        <v>84</v>
      </c>
      <c r="H82" s="43"/>
      <c r="I82" s="122" t="s">
        <v>85</v>
      </c>
      <c r="J82" s="43"/>
      <c r="K82" s="122" t="s">
        <v>240</v>
      </c>
      <c r="L82" s="43"/>
      <c r="M82" s="122" t="s">
        <v>241</v>
      </c>
      <c r="N82" s="43"/>
    </row>
    <row r="83" spans="1:16" ht="13.2" customHeight="1" x14ac:dyDescent="0.25">
      <c r="A83" s="111" t="s">
        <v>242</v>
      </c>
      <c r="B83" s="43"/>
      <c r="C83" s="111" t="s">
        <v>242</v>
      </c>
      <c r="D83" s="43"/>
      <c r="E83" s="111" t="s">
        <v>242</v>
      </c>
      <c r="F83" s="43"/>
      <c r="G83" s="111" t="s">
        <v>242</v>
      </c>
      <c r="H83" s="43"/>
      <c r="I83" s="111" t="s">
        <v>242</v>
      </c>
      <c r="J83" s="43"/>
      <c r="K83" s="111" t="s">
        <v>242</v>
      </c>
      <c r="L83" s="43"/>
      <c r="M83" s="111" t="s">
        <v>242</v>
      </c>
      <c r="N83" s="43"/>
    </row>
    <row r="84" spans="1:16" ht="15.75" customHeight="1" x14ac:dyDescent="0.25">
      <c r="A84" s="43"/>
      <c r="B84" s="43"/>
      <c r="C84" s="43"/>
      <c r="D84" s="43"/>
      <c r="E84" s="43"/>
      <c r="F84" s="43"/>
      <c r="G84" s="43"/>
      <c r="H84" s="43"/>
      <c r="I84" s="43"/>
      <c r="J84" s="43"/>
      <c r="K84" s="43"/>
      <c r="L84" s="43"/>
      <c r="M84" s="43"/>
      <c r="N84" s="43"/>
    </row>
    <row r="85" spans="1:16" ht="15.75" customHeight="1" x14ac:dyDescent="0.25">
      <c r="A85" s="43"/>
      <c r="B85" s="43"/>
      <c r="C85" s="43"/>
      <c r="D85" s="43"/>
      <c r="E85" s="43"/>
      <c r="F85" s="43"/>
      <c r="G85" s="43"/>
      <c r="H85" s="43"/>
      <c r="I85" s="43"/>
      <c r="J85" s="43"/>
      <c r="K85" s="43"/>
      <c r="L85" s="43"/>
      <c r="M85" s="43"/>
      <c r="N85" s="43"/>
    </row>
    <row r="86" spans="1:16" ht="30.75" customHeight="1" x14ac:dyDescent="0.25">
      <c r="A86" s="107" t="s">
        <v>243</v>
      </c>
      <c r="B86" s="43"/>
      <c r="C86" s="107" t="s">
        <v>243</v>
      </c>
      <c r="D86" s="43"/>
      <c r="E86" s="107" t="s">
        <v>243</v>
      </c>
      <c r="F86" s="43"/>
      <c r="G86" s="107" t="s">
        <v>243</v>
      </c>
      <c r="H86" s="43"/>
      <c r="I86" s="107" t="s">
        <v>243</v>
      </c>
      <c r="J86" s="43"/>
      <c r="K86" s="107" t="s">
        <v>243</v>
      </c>
      <c r="L86" s="43"/>
      <c r="M86" s="107" t="s">
        <v>243</v>
      </c>
      <c r="N86" s="43"/>
    </row>
    <row r="87" spans="1:16" ht="30.75" customHeight="1" x14ac:dyDescent="0.25">
      <c r="A87" s="130" t="s">
        <v>244</v>
      </c>
      <c r="B87" s="43"/>
      <c r="C87" s="43"/>
      <c r="D87" s="43"/>
      <c r="E87" s="43"/>
      <c r="F87" s="43"/>
      <c r="G87" s="43"/>
      <c r="H87" s="43"/>
      <c r="I87" s="43"/>
      <c r="J87" s="43"/>
      <c r="K87" s="43"/>
      <c r="L87" s="43"/>
      <c r="M87" s="43"/>
      <c r="N87" s="43"/>
    </row>
    <row r="88" spans="1:16" ht="13.2" customHeight="1" x14ac:dyDescent="0.25">
      <c r="A88" s="122" t="s">
        <v>76</v>
      </c>
      <c r="B88" s="43"/>
      <c r="C88" s="43"/>
      <c r="D88" s="43"/>
      <c r="E88" s="122" t="s">
        <v>82</v>
      </c>
      <c r="F88" s="43"/>
      <c r="G88" s="43"/>
      <c r="H88" s="43"/>
      <c r="I88" s="122" t="s">
        <v>83</v>
      </c>
      <c r="J88" s="43"/>
      <c r="K88" s="43"/>
      <c r="L88" s="43"/>
      <c r="M88" s="51" t="s">
        <v>245</v>
      </c>
      <c r="N88" s="43"/>
    </row>
    <row r="89" spans="1:16" ht="13.2" customHeight="1" x14ac:dyDescent="0.25">
      <c r="A89" s="51" t="s">
        <v>242</v>
      </c>
      <c r="B89" s="43"/>
      <c r="C89" s="43"/>
      <c r="D89" s="43"/>
      <c r="E89" s="51" t="s">
        <v>242</v>
      </c>
      <c r="F89" s="43"/>
      <c r="G89" s="43"/>
      <c r="H89" s="43"/>
      <c r="I89" s="51" t="s">
        <v>242</v>
      </c>
      <c r="J89" s="43"/>
      <c r="K89" s="43"/>
      <c r="L89" s="43"/>
      <c r="M89" s="43"/>
      <c r="N89" s="43"/>
    </row>
    <row r="90" spans="1:16" ht="15.75" customHeight="1" x14ac:dyDescent="0.25">
      <c r="A90" s="43"/>
      <c r="B90" s="43"/>
      <c r="C90" s="43"/>
      <c r="D90" s="43"/>
      <c r="E90" s="43"/>
      <c r="F90" s="43"/>
      <c r="G90" s="43"/>
      <c r="H90" s="43"/>
      <c r="I90" s="43"/>
      <c r="J90" s="43"/>
      <c r="K90" s="43"/>
      <c r="L90" s="43"/>
      <c r="M90" s="43"/>
      <c r="N90" s="43"/>
    </row>
    <row r="91" spans="1:16" ht="15.75" customHeight="1" x14ac:dyDescent="0.25">
      <c r="A91" s="43"/>
      <c r="B91" s="43"/>
      <c r="C91" s="43"/>
      <c r="D91" s="43"/>
      <c r="E91" s="43"/>
      <c r="F91" s="43"/>
      <c r="G91" s="43"/>
      <c r="H91" s="43"/>
      <c r="I91" s="43"/>
      <c r="J91" s="43"/>
      <c r="K91" s="43"/>
      <c r="L91" s="43"/>
      <c r="M91" s="43"/>
      <c r="N91" s="43"/>
    </row>
    <row r="92" spans="1:16" ht="15.75" customHeight="1" x14ac:dyDescent="0.25">
      <c r="A92" s="43"/>
      <c r="B92" s="43"/>
      <c r="C92" s="43"/>
      <c r="D92" s="43"/>
      <c r="E92" s="43"/>
      <c r="F92" s="43"/>
      <c r="G92" s="43"/>
      <c r="H92" s="43"/>
      <c r="I92" s="43"/>
      <c r="J92" s="43"/>
      <c r="K92" s="43"/>
      <c r="L92" s="43"/>
      <c r="M92" s="43"/>
      <c r="N92" s="43"/>
    </row>
    <row r="94" spans="1:16" ht="27.75" customHeight="1" x14ac:dyDescent="0.25">
      <c r="A94" s="55" t="s">
        <v>246</v>
      </c>
      <c r="B94" s="56"/>
      <c r="C94" s="56"/>
      <c r="D94" s="56"/>
      <c r="E94" s="56"/>
      <c r="F94" s="56"/>
      <c r="G94" s="56"/>
      <c r="H94" s="56"/>
      <c r="I94" s="56"/>
      <c r="J94" s="56"/>
      <c r="K94" s="56"/>
      <c r="L94" s="56"/>
      <c r="M94" s="56"/>
      <c r="N94" s="56"/>
      <c r="O94" s="56"/>
      <c r="P94" s="57"/>
    </row>
    <row r="95" spans="1:16" ht="42" customHeight="1" x14ac:dyDescent="0.25">
      <c r="A95" s="65" t="s">
        <v>247</v>
      </c>
      <c r="B95" s="43"/>
      <c r="C95" s="43"/>
      <c r="D95" s="43"/>
      <c r="E95" s="65" t="s">
        <v>248</v>
      </c>
      <c r="F95" s="43"/>
      <c r="G95" s="43"/>
      <c r="H95" s="43"/>
      <c r="I95" s="65" t="s">
        <v>249</v>
      </c>
      <c r="J95" s="43"/>
      <c r="K95" s="43"/>
      <c r="L95" s="43"/>
      <c r="M95" s="65" t="s">
        <v>250</v>
      </c>
      <c r="N95" s="43"/>
      <c r="O95" s="43"/>
      <c r="P95" s="43"/>
    </row>
    <row r="96" spans="1:16" ht="39.75" customHeight="1" x14ac:dyDescent="0.25">
      <c r="A96" s="31" t="s">
        <v>4</v>
      </c>
      <c r="B96" s="31" t="s">
        <v>251</v>
      </c>
      <c r="C96" s="31" t="s">
        <v>252</v>
      </c>
      <c r="D96" s="31" t="s">
        <v>253</v>
      </c>
      <c r="E96" s="113" t="s">
        <v>254</v>
      </c>
      <c r="F96" s="43"/>
      <c r="G96" s="43"/>
      <c r="H96" s="43"/>
      <c r="I96" s="113" t="s">
        <v>255</v>
      </c>
      <c r="J96" s="43"/>
      <c r="K96" s="43"/>
      <c r="L96" s="43"/>
      <c r="M96" s="113" t="s">
        <v>256</v>
      </c>
      <c r="N96" s="43"/>
      <c r="O96" s="43"/>
      <c r="P96" s="43"/>
    </row>
    <row r="97" spans="1:16" ht="13.2" customHeight="1" x14ac:dyDescent="0.25">
      <c r="A97" s="109" t="s">
        <v>257</v>
      </c>
      <c r="B97" s="109" t="s">
        <v>257</v>
      </c>
      <c r="C97" s="109" t="s">
        <v>257</v>
      </c>
      <c r="D97" s="109" t="s">
        <v>257</v>
      </c>
      <c r="E97" s="134" t="str">
        <f>L33</f>
        <v>Làm sao chúng ta có thể visulization... (What2)...cho...(Who2), sẽ giúp cho...(Why2)...theo...(POV2)</v>
      </c>
      <c r="F97" s="43"/>
      <c r="G97" s="43"/>
      <c r="H97" s="43"/>
      <c r="I97" s="133" t="str">
        <f>O61</f>
        <v>IDEA ?</v>
      </c>
      <c r="J97" s="43"/>
      <c r="K97" s="43"/>
      <c r="L97" s="43"/>
      <c r="M97" s="111" t="s">
        <v>242</v>
      </c>
      <c r="N97" s="43"/>
      <c r="O97" s="43"/>
      <c r="P97" s="43"/>
    </row>
    <row r="98" spans="1:16" ht="15.75" customHeight="1" x14ac:dyDescent="0.25">
      <c r="A98" s="43"/>
      <c r="B98" s="43"/>
      <c r="C98" s="43"/>
      <c r="D98" s="43"/>
      <c r="E98" s="43"/>
      <c r="F98" s="43"/>
      <c r="G98" s="43"/>
      <c r="H98" s="43"/>
      <c r="I98" s="43"/>
      <c r="J98" s="43"/>
      <c r="K98" s="43"/>
      <c r="L98" s="43"/>
      <c r="M98" s="43"/>
      <c r="N98" s="43"/>
      <c r="O98" s="43"/>
      <c r="P98" s="43"/>
    </row>
    <row r="99" spans="1:16" ht="15.75" customHeight="1" x14ac:dyDescent="0.25">
      <c r="A99" s="43"/>
      <c r="B99" s="43"/>
      <c r="C99" s="43"/>
      <c r="D99" s="43"/>
      <c r="E99" s="43"/>
      <c r="F99" s="43"/>
      <c r="G99" s="43"/>
      <c r="H99" s="43"/>
      <c r="I99" s="43"/>
      <c r="J99" s="43"/>
      <c r="K99" s="43"/>
      <c r="L99" s="43"/>
      <c r="M99" s="43"/>
      <c r="N99" s="43"/>
      <c r="O99" s="43"/>
      <c r="P99" s="43"/>
    </row>
    <row r="100" spans="1:16" ht="15.75" customHeight="1" x14ac:dyDescent="0.25">
      <c r="A100" s="43"/>
      <c r="B100" s="43"/>
      <c r="C100" s="43"/>
      <c r="D100" s="43"/>
      <c r="E100" s="43"/>
      <c r="F100" s="43"/>
      <c r="G100" s="43"/>
      <c r="H100" s="43"/>
      <c r="I100" s="43"/>
      <c r="J100" s="43"/>
      <c r="K100" s="43"/>
      <c r="L100" s="43"/>
      <c r="M100" s="43"/>
      <c r="N100" s="43"/>
      <c r="O100" s="43"/>
      <c r="P100" s="43"/>
    </row>
  </sheetData>
  <mergeCells count="231">
    <mergeCell ref="C61:C63"/>
    <mergeCell ref="N42:P42"/>
    <mergeCell ref="K57:K59"/>
    <mergeCell ref="Q8:Q9"/>
    <mergeCell ref="P6:P7"/>
    <mergeCell ref="B55:B57"/>
    <mergeCell ref="C23:D24"/>
    <mergeCell ref="D55:D57"/>
    <mergeCell ref="K15:K24"/>
    <mergeCell ref="D61:D63"/>
    <mergeCell ref="I33:J33"/>
    <mergeCell ref="O51:O52"/>
    <mergeCell ref="O8:O9"/>
    <mergeCell ref="L6:L7"/>
    <mergeCell ref="K51:K53"/>
    <mergeCell ref="G57:G59"/>
    <mergeCell ref="N6:N7"/>
    <mergeCell ref="I57:I59"/>
    <mergeCell ref="K60:K62"/>
    <mergeCell ref="E17:F18"/>
    <mergeCell ref="G17:H18"/>
    <mergeCell ref="G35:H35"/>
    <mergeCell ref="C22:D22"/>
    <mergeCell ref="Q6:Q7"/>
    <mergeCell ref="A2:I2"/>
    <mergeCell ref="L1:Q1"/>
    <mergeCell ref="A7:B7"/>
    <mergeCell ref="A87:N87"/>
    <mergeCell ref="M96:P96"/>
    <mergeCell ref="I23:J24"/>
    <mergeCell ref="A23:B24"/>
    <mergeCell ref="E96:H96"/>
    <mergeCell ref="E88:H88"/>
    <mergeCell ref="A9:I11"/>
    <mergeCell ref="G63:K63"/>
    <mergeCell ref="H51:H53"/>
    <mergeCell ref="C52:C54"/>
    <mergeCell ref="H60:H62"/>
    <mergeCell ref="E22:F22"/>
    <mergeCell ref="G22:H22"/>
    <mergeCell ref="E61:E63"/>
    <mergeCell ref="A15:J15"/>
    <mergeCell ref="A8:I8"/>
    <mergeCell ref="A14:U14"/>
    <mergeCell ref="A94:P94"/>
    <mergeCell ref="G33:H33"/>
    <mergeCell ref="M8:M9"/>
    <mergeCell ref="G54:G56"/>
    <mergeCell ref="S15:U15"/>
    <mergeCell ref="I16:J16"/>
    <mergeCell ref="C41:C42"/>
    <mergeCell ref="A58:A60"/>
    <mergeCell ref="A52:A54"/>
    <mergeCell ref="A46:E46"/>
    <mergeCell ref="S18:U19"/>
    <mergeCell ref="C58:C60"/>
    <mergeCell ref="E58:E60"/>
    <mergeCell ref="G47:K48"/>
    <mergeCell ref="F31:F32"/>
    <mergeCell ref="B31:E31"/>
    <mergeCell ref="K30:K41"/>
    <mergeCell ref="H54:H56"/>
    <mergeCell ref="F37:F38"/>
    <mergeCell ref="E41:E42"/>
    <mergeCell ref="E50:E51"/>
    <mergeCell ref="A22:B22"/>
    <mergeCell ref="C20:D21"/>
    <mergeCell ref="E20:F21"/>
    <mergeCell ref="A19:B19"/>
    <mergeCell ref="A29:Q29"/>
    <mergeCell ref="C19:D19"/>
    <mergeCell ref="F46:F64"/>
    <mergeCell ref="S17:U17"/>
    <mergeCell ref="E97:H100"/>
    <mergeCell ref="O53:O54"/>
    <mergeCell ref="Q53:Q54"/>
    <mergeCell ref="H57:H59"/>
    <mergeCell ref="S20:U21"/>
    <mergeCell ref="P51:P52"/>
    <mergeCell ref="G86:H86"/>
    <mergeCell ref="C97:C100"/>
    <mergeCell ref="I86:J86"/>
    <mergeCell ref="Q55:Q56"/>
    <mergeCell ref="C83:D85"/>
    <mergeCell ref="E83:F85"/>
    <mergeCell ref="F35:F36"/>
    <mergeCell ref="I32:J32"/>
    <mergeCell ref="I41:J41"/>
    <mergeCell ref="L31:P32"/>
    <mergeCell ref="F33:F34"/>
    <mergeCell ref="J60:J62"/>
    <mergeCell ref="I95:L95"/>
    <mergeCell ref="J57:J59"/>
    <mergeCell ref="M47:Q48"/>
    <mergeCell ref="A88:D88"/>
    <mergeCell ref="P53:P54"/>
    <mergeCell ref="I82:J82"/>
    <mergeCell ref="I35:J35"/>
    <mergeCell ref="M97:P100"/>
    <mergeCell ref="Q57:Q58"/>
    <mergeCell ref="E16:F16"/>
    <mergeCell ref="I96:L96"/>
    <mergeCell ref="K82:L82"/>
    <mergeCell ref="G16:H16"/>
    <mergeCell ref="O49:Q49"/>
    <mergeCell ref="P16:Q17"/>
    <mergeCell ref="M83:N85"/>
    <mergeCell ref="G60:G62"/>
    <mergeCell ref="O61:Q62"/>
    <mergeCell ref="A66:N66"/>
    <mergeCell ref="E86:F86"/>
    <mergeCell ref="A97:A100"/>
    <mergeCell ref="A81:N81"/>
    <mergeCell ref="M95:P95"/>
    <mergeCell ref="E95:H95"/>
    <mergeCell ref="A82:B82"/>
    <mergeCell ref="I97:L100"/>
    <mergeCell ref="A86:B86"/>
    <mergeCell ref="K86:L86"/>
    <mergeCell ref="M82:N82"/>
    <mergeCell ref="C82:D82"/>
    <mergeCell ref="B61:B63"/>
    <mergeCell ref="I19:J19"/>
    <mergeCell ref="A1:I1"/>
    <mergeCell ref="A55:A57"/>
    <mergeCell ref="C55:C57"/>
    <mergeCell ref="B37:E37"/>
    <mergeCell ref="J54:J56"/>
    <mergeCell ref="B97:B100"/>
    <mergeCell ref="A67:N67"/>
    <mergeCell ref="C86:D86"/>
    <mergeCell ref="B50:B51"/>
    <mergeCell ref="I88:L88"/>
    <mergeCell ref="A47:A49"/>
    <mergeCell ref="G20:H21"/>
    <mergeCell ref="L30:Q30"/>
    <mergeCell ref="A83:B85"/>
    <mergeCell ref="I89:L92"/>
    <mergeCell ref="A50:A51"/>
    <mergeCell ref="G49:K50"/>
    <mergeCell ref="C50:C51"/>
    <mergeCell ref="K83:L85"/>
    <mergeCell ref="D58:D60"/>
    <mergeCell ref="G39:H39"/>
    <mergeCell ref="B47:E49"/>
    <mergeCell ref="P18:Q21"/>
    <mergeCell ref="E55:E57"/>
    <mergeCell ref="I54:I56"/>
    <mergeCell ref="Q31:Q34"/>
    <mergeCell ref="K54:K56"/>
    <mergeCell ref="O6:O7"/>
    <mergeCell ref="N38:Q39"/>
    <mergeCell ref="N20:O21"/>
    <mergeCell ref="B52:B54"/>
    <mergeCell ref="M46:Q46"/>
    <mergeCell ref="D52:D54"/>
    <mergeCell ref="A6:I6"/>
    <mergeCell ref="O57:O58"/>
    <mergeCell ref="L15:Q15"/>
    <mergeCell ref="R15:R24"/>
    <mergeCell ref="F39:F40"/>
    <mergeCell ref="G23:H24"/>
    <mergeCell ref="A61:A63"/>
    <mergeCell ref="C7:D7"/>
    <mergeCell ref="S22:U24"/>
    <mergeCell ref="E7:F7"/>
    <mergeCell ref="G32:H32"/>
    <mergeCell ref="E23:F24"/>
    <mergeCell ref="G41:H41"/>
    <mergeCell ref="P55:P56"/>
    <mergeCell ref="B34:E34"/>
    <mergeCell ref="G46:K46"/>
    <mergeCell ref="A40:A41"/>
    <mergeCell ref="G7:I7"/>
    <mergeCell ref="Q40:Q42"/>
    <mergeCell ref="A30:E30"/>
    <mergeCell ref="L33:P34"/>
    <mergeCell ref="I17:J18"/>
    <mergeCell ref="G51:G53"/>
    <mergeCell ref="I51:I53"/>
    <mergeCell ref="I60:I62"/>
    <mergeCell ref="A17:B18"/>
    <mergeCell ref="L16:M17"/>
    <mergeCell ref="A3:I5"/>
    <mergeCell ref="A45:Q45"/>
    <mergeCell ref="C17:D18"/>
    <mergeCell ref="E82:F82"/>
    <mergeCell ref="G82:H82"/>
    <mergeCell ref="F30:J30"/>
    <mergeCell ref="A16:B16"/>
    <mergeCell ref="A89:D92"/>
    <mergeCell ref="Q51:Q52"/>
    <mergeCell ref="C16:D16"/>
    <mergeCell ref="I20:J21"/>
    <mergeCell ref="L8:L9"/>
    <mergeCell ref="E19:F19"/>
    <mergeCell ref="N8:N9"/>
    <mergeCell ref="J51:J53"/>
    <mergeCell ref="G19:H19"/>
    <mergeCell ref="F42:J42"/>
    <mergeCell ref="L35:Q37"/>
    <mergeCell ref="M6:M7"/>
    <mergeCell ref="P8:P9"/>
    <mergeCell ref="E52:E54"/>
    <mergeCell ref="I22:J22"/>
    <mergeCell ref="M88:N92"/>
    <mergeCell ref="P57:P58"/>
    <mergeCell ref="M86:N86"/>
    <mergeCell ref="N16:O17"/>
    <mergeCell ref="D97:D100"/>
    <mergeCell ref="E89:H92"/>
    <mergeCell ref="I39:J39"/>
    <mergeCell ref="G83:H85"/>
    <mergeCell ref="I83:J85"/>
    <mergeCell ref="B58:B60"/>
    <mergeCell ref="O59:Q60"/>
    <mergeCell ref="N18:O19"/>
    <mergeCell ref="L38:M42"/>
    <mergeCell ref="B41:B42"/>
    <mergeCell ref="A95:D95"/>
    <mergeCell ref="G31:H31"/>
    <mergeCell ref="I31:J31"/>
    <mergeCell ref="L46:L64"/>
    <mergeCell ref="L18:M21"/>
    <mergeCell ref="D50:D51"/>
    <mergeCell ref="A20:B21"/>
    <mergeCell ref="G37:H37"/>
    <mergeCell ref="D41:D42"/>
    <mergeCell ref="L22:Q22"/>
    <mergeCell ref="O55:O56"/>
    <mergeCell ref="I37:J3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5"/>
  <sheetViews>
    <sheetView workbookViewId="0"/>
  </sheetViews>
  <sheetFormatPr defaultColWidth="12.6640625" defaultRowHeight="15.75" customHeight="1" x14ac:dyDescent="0.25"/>
  <cols>
    <col min="1" max="1" width="17.21875" customWidth="1"/>
    <col min="3" max="3" width="56.6640625" customWidth="1"/>
    <col min="4" max="4" width="50.88671875" customWidth="1"/>
  </cols>
  <sheetData>
    <row r="1" spans="1:4" x14ac:dyDescent="0.25">
      <c r="A1" s="32" t="s">
        <v>258</v>
      </c>
      <c r="B1" s="32" t="s">
        <v>259</v>
      </c>
      <c r="C1" s="32" t="s">
        <v>260</v>
      </c>
      <c r="D1" s="32" t="s">
        <v>261</v>
      </c>
    </row>
    <row r="2" spans="1:4" x14ac:dyDescent="0.25">
      <c r="A2" s="144" t="s">
        <v>262</v>
      </c>
      <c r="B2" s="33" t="s">
        <v>263</v>
      </c>
      <c r="C2" s="33" t="s">
        <v>264</v>
      </c>
      <c r="D2" s="33"/>
    </row>
    <row r="3" spans="1:4" x14ac:dyDescent="0.25">
      <c r="A3" s="141"/>
      <c r="B3" s="33" t="s">
        <v>265</v>
      </c>
      <c r="C3" s="33" t="s">
        <v>266</v>
      </c>
      <c r="D3" s="33"/>
    </row>
    <row r="4" spans="1:4" x14ac:dyDescent="0.25">
      <c r="A4" s="141"/>
      <c r="B4" s="33" t="s">
        <v>267</v>
      </c>
      <c r="C4" s="33" t="s">
        <v>268</v>
      </c>
      <c r="D4" s="33"/>
    </row>
    <row r="5" spans="1:4" x14ac:dyDescent="0.25">
      <c r="A5" s="141"/>
      <c r="B5" s="33" t="s">
        <v>269</v>
      </c>
      <c r="C5" s="33" t="s">
        <v>270</v>
      </c>
      <c r="D5" s="33"/>
    </row>
    <row r="6" spans="1:4" x14ac:dyDescent="0.25">
      <c r="A6" s="142"/>
      <c r="B6" s="33" t="s">
        <v>271</v>
      </c>
      <c r="C6" s="33" t="s">
        <v>272</v>
      </c>
      <c r="D6" s="34"/>
    </row>
    <row r="7" spans="1:4" x14ac:dyDescent="0.25">
      <c r="A7" s="145" t="s">
        <v>273</v>
      </c>
      <c r="B7" s="33" t="s">
        <v>274</v>
      </c>
      <c r="C7" s="33" t="s">
        <v>275</v>
      </c>
      <c r="D7" s="33"/>
    </row>
    <row r="8" spans="1:4" x14ac:dyDescent="0.25">
      <c r="A8" s="142"/>
      <c r="B8" s="33" t="s">
        <v>276</v>
      </c>
      <c r="C8" s="33" t="s">
        <v>277</v>
      </c>
      <c r="D8" s="33"/>
    </row>
    <row r="9" spans="1:4" x14ac:dyDescent="0.25">
      <c r="A9" s="143" t="s">
        <v>278</v>
      </c>
      <c r="B9" s="140" t="s">
        <v>279</v>
      </c>
      <c r="C9" s="146" t="s">
        <v>280</v>
      </c>
      <c r="D9" s="147"/>
    </row>
    <row r="10" spans="1:4" x14ac:dyDescent="0.25">
      <c r="A10" s="141"/>
      <c r="B10" s="141"/>
      <c r="C10" s="34" t="s">
        <v>281</v>
      </c>
      <c r="D10" s="34"/>
    </row>
    <row r="11" spans="1:4" x14ac:dyDescent="0.25">
      <c r="A11" s="141"/>
      <c r="B11" s="141"/>
      <c r="C11" s="34" t="s">
        <v>282</v>
      </c>
      <c r="D11" s="34"/>
    </row>
    <row r="12" spans="1:4" x14ac:dyDescent="0.25">
      <c r="A12" s="141"/>
      <c r="B12" s="142"/>
      <c r="C12" s="34" t="s">
        <v>283</v>
      </c>
      <c r="D12" s="34"/>
    </row>
    <row r="13" spans="1:4" x14ac:dyDescent="0.25">
      <c r="A13" s="142"/>
      <c r="B13" s="34" t="s">
        <v>284</v>
      </c>
      <c r="C13" s="34" t="s">
        <v>285</v>
      </c>
      <c r="D13" s="34"/>
    </row>
    <row r="14" spans="1:4" x14ac:dyDescent="0.25">
      <c r="A14" s="35" t="s">
        <v>286</v>
      </c>
      <c r="B14" s="34" t="s">
        <v>287</v>
      </c>
      <c r="C14" s="34" t="s">
        <v>288</v>
      </c>
      <c r="D14" s="34"/>
    </row>
    <row r="15" spans="1:4" x14ac:dyDescent="0.25">
      <c r="A15" s="36" t="s">
        <v>289</v>
      </c>
      <c r="B15" s="34" t="s">
        <v>290</v>
      </c>
      <c r="C15" s="37" t="s">
        <v>291</v>
      </c>
      <c r="D15" s="34"/>
    </row>
  </sheetData>
  <mergeCells count="5">
    <mergeCell ref="B9:B12"/>
    <mergeCell ref="A9:A13"/>
    <mergeCell ref="A2:A6"/>
    <mergeCell ref="A7:A8"/>
    <mergeCell ref="C9:D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5.75" customHeight="1" x14ac:dyDescent="0.25"/>
  <sheetData>
    <row r="1" spans="1:1" x14ac:dyDescent="0.25">
      <c r="A1" s="2" t="s">
        <v>292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Thinking Ver 4</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Thai Bui</cp:lastModifiedBy>
  <dcterms:created xsi:type="dcterms:W3CDTF">2026-07-10T01:44:48Z</dcterms:created>
  <dcterms:modified xsi:type="dcterms:W3CDTF">2026-08-07T07:02:17Z</dcterms:modified>
</cp:coreProperties>
</file>